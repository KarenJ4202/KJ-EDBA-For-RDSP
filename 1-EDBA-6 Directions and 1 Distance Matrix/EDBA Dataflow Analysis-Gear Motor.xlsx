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j/Documents/Git/DisassemblyCollaboration/EnhancedBeesAlgorithm/0_PythonVersionByKaiwen_RunForGearMotor_9parts_6direct_1distance/"/>
    </mc:Choice>
  </mc:AlternateContent>
  <xr:revisionPtr revIDLastSave="0" documentId="13_ncr:1_{407444B1-5180-1E49-A61D-E96657AA0213}" xr6:coauthVersionLast="47" xr6:coauthVersionMax="47" xr10:uidLastSave="{00000000-0000-0000-0000-000000000000}"/>
  <bookViews>
    <workbookView xWindow="0" yWindow="0" windowWidth="28800" windowHeight="18000" firstSheet="1" activeTab="6" xr2:uid="{00000000-000D-0000-FFFF-FFFF00000000}"/>
  </bookViews>
  <sheets>
    <sheet name="@Algo1@BestSequenceGeneration" sheetId="1" r:id="rId1"/>
    <sheet name="@Fn1_GenerateFeasibleSequence" sheetId="2" r:id="rId2"/>
    <sheet name="@Func2_miss@Disassembly_tool" sheetId="3" r:id="rId3"/>
    <sheet name="@Func3@fitness" sheetId="4" r:id="rId4"/>
    <sheet name="@Algo1@Bees" sheetId="6" r:id="rId5"/>
    <sheet name="@Func4@PerformBeeDance_swap" sheetId="7" r:id="rId6"/>
    <sheet name="@Func5@checkfeasibility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8" l="1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X55" i="8"/>
  <c r="X56" i="8"/>
  <c r="X57" i="8"/>
  <c r="X58" i="8"/>
  <c r="X59" i="8"/>
  <c r="X60" i="8"/>
  <c r="X61" i="8"/>
  <c r="X62" i="8"/>
  <c r="W55" i="8"/>
  <c r="W56" i="8"/>
  <c r="W57" i="8"/>
  <c r="W58" i="8"/>
  <c r="W59" i="8"/>
  <c r="W60" i="8"/>
  <c r="W61" i="8"/>
  <c r="W62" i="8"/>
  <c r="V55" i="8"/>
  <c r="V56" i="8"/>
  <c r="V57" i="8"/>
  <c r="V58" i="8"/>
  <c r="V59" i="8"/>
  <c r="V60" i="8"/>
  <c r="V61" i="8"/>
  <c r="V62" i="8"/>
  <c r="U55" i="8"/>
  <c r="U56" i="8"/>
  <c r="U57" i="8"/>
  <c r="U58" i="8"/>
  <c r="U59" i="8"/>
  <c r="U60" i="8"/>
  <c r="U61" i="8"/>
  <c r="U62" i="8"/>
  <c r="T55" i="8"/>
  <c r="T56" i="8"/>
  <c r="T57" i="8"/>
  <c r="T58" i="8"/>
  <c r="T59" i="8"/>
  <c r="T60" i="8"/>
  <c r="T61" i="8"/>
  <c r="T62" i="8"/>
  <c r="T54" i="8"/>
  <c r="U54" i="8"/>
  <c r="V54" i="8"/>
  <c r="W54" i="8"/>
  <c r="X54" i="8"/>
  <c r="S55" i="8"/>
  <c r="S56" i="8"/>
  <c r="S57" i="8"/>
  <c r="S58" i="8"/>
  <c r="S59" i="8"/>
  <c r="S60" i="8"/>
  <c r="S61" i="8"/>
  <c r="S62" i="8"/>
  <c r="S54" i="8"/>
  <c r="Q71" i="2"/>
  <c r="P71" i="2"/>
  <c r="U79" i="2"/>
  <c r="T79" i="2"/>
  <c r="S79" i="2"/>
  <c r="R79" i="2"/>
  <c r="Q79" i="2"/>
  <c r="P79" i="2"/>
  <c r="U77" i="2"/>
  <c r="T77" i="2"/>
  <c r="S77" i="2"/>
  <c r="R77" i="2"/>
  <c r="Q77" i="2"/>
  <c r="P77" i="2"/>
  <c r="U76" i="2"/>
  <c r="T76" i="2"/>
  <c r="S76" i="2"/>
  <c r="R76" i="2"/>
  <c r="Q76" i="2"/>
  <c r="P76" i="2"/>
  <c r="U75" i="2"/>
  <c r="T75" i="2"/>
  <c r="S75" i="2"/>
  <c r="R75" i="2"/>
  <c r="Q75" i="2"/>
  <c r="P75" i="2"/>
  <c r="U74" i="2"/>
  <c r="T74" i="2"/>
  <c r="S74" i="2"/>
  <c r="R74" i="2"/>
  <c r="Q74" i="2"/>
  <c r="P74" i="2"/>
  <c r="U73" i="2"/>
  <c r="T73" i="2"/>
  <c r="S73" i="2"/>
  <c r="R73" i="2"/>
  <c r="Q73" i="2"/>
  <c r="P73" i="2"/>
  <c r="U72" i="2"/>
  <c r="T72" i="2"/>
  <c r="S72" i="2"/>
  <c r="R72" i="2"/>
  <c r="Q72" i="2"/>
  <c r="P72" i="2"/>
  <c r="U71" i="2"/>
  <c r="T71" i="2"/>
  <c r="S71" i="2"/>
  <c r="R71" i="2"/>
  <c r="U41" i="2"/>
  <c r="U42" i="2"/>
  <c r="U43" i="2"/>
  <c r="U44" i="2"/>
  <c r="U45" i="2"/>
  <c r="U46" i="2"/>
  <c r="U47" i="2"/>
  <c r="U48" i="2"/>
  <c r="T41" i="2"/>
  <c r="T42" i="2"/>
  <c r="T43" i="2"/>
  <c r="T44" i="2"/>
  <c r="T45" i="2"/>
  <c r="T46" i="2"/>
  <c r="T47" i="2"/>
  <c r="T48" i="2"/>
  <c r="S41" i="2"/>
  <c r="S42" i="2"/>
  <c r="S43" i="2"/>
  <c r="S44" i="2"/>
  <c r="S45" i="2"/>
  <c r="S46" i="2"/>
  <c r="S47" i="2"/>
  <c r="S48" i="2"/>
  <c r="R41" i="2"/>
  <c r="R42" i="2"/>
  <c r="R43" i="2"/>
  <c r="R44" i="2"/>
  <c r="R45" i="2"/>
  <c r="R46" i="2"/>
  <c r="R47" i="2"/>
  <c r="R48" i="2"/>
  <c r="Q41" i="2"/>
  <c r="Q42" i="2"/>
  <c r="Q43" i="2"/>
  <c r="Q44" i="2"/>
  <c r="Q45" i="2"/>
  <c r="Q46" i="2"/>
  <c r="Q47" i="2"/>
  <c r="Q48" i="2"/>
  <c r="R40" i="2"/>
  <c r="Q40" i="2"/>
  <c r="S40" i="2"/>
  <c r="T40" i="2"/>
  <c r="U40" i="2"/>
  <c r="P42" i="2"/>
  <c r="P43" i="2"/>
  <c r="P44" i="2"/>
  <c r="P45" i="2"/>
  <c r="P46" i="2"/>
  <c r="P47" i="2"/>
  <c r="P48" i="2"/>
  <c r="P41" i="2"/>
  <c r="P40" i="2"/>
  <c r="Q21" i="1"/>
  <c r="Q20" i="1"/>
  <c r="Q19" i="1"/>
  <c r="Q18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Q3" i="1"/>
  <c r="Q54" i="1"/>
  <c r="Q55" i="1"/>
  <c r="Q56" i="1"/>
  <c r="Q57" i="1"/>
  <c r="Q58" i="1"/>
  <c r="Q59" i="1"/>
  <c r="Q60" i="1"/>
  <c r="Q61" i="1"/>
  <c r="Q53" i="1"/>
  <c r="Q44" i="1"/>
  <c r="Q45" i="1"/>
  <c r="Q46" i="1"/>
  <c r="Q47" i="1"/>
  <c r="Q48" i="1"/>
  <c r="Q49" i="1"/>
  <c r="Q50" i="1"/>
  <c r="Q51" i="1"/>
  <c r="Q43" i="1"/>
  <c r="Q34" i="1"/>
  <c r="Q35" i="1"/>
  <c r="Q36" i="1"/>
  <c r="Q37" i="1"/>
  <c r="Q38" i="1"/>
  <c r="Q39" i="1"/>
  <c r="Q40" i="1"/>
  <c r="Q41" i="1"/>
  <c r="Q33" i="1"/>
  <c r="Q24" i="1"/>
  <c r="Q25" i="1"/>
  <c r="Q26" i="1"/>
  <c r="Q27" i="1"/>
  <c r="Q28" i="1"/>
  <c r="Q29" i="1"/>
  <c r="Q30" i="1"/>
  <c r="Q31" i="1"/>
  <c r="Q23" i="1"/>
  <c r="AC44" i="1"/>
  <c r="AC18" i="1"/>
  <c r="AA46" i="4"/>
  <c r="AJ46" i="4" s="1"/>
  <c r="AS46" i="4" s="1"/>
  <c r="BB46" i="4" s="1"/>
  <c r="BK46" i="4" s="1"/>
  <c r="BT46" i="4" s="1"/>
  <c r="CC46" i="4" s="1"/>
  <c r="CL46" i="4" s="1"/>
  <c r="CU46" i="4" s="1"/>
  <c r="DD46" i="4" s="1"/>
  <c r="DM46" i="4" s="1"/>
  <c r="DV46" i="4" s="1"/>
  <c r="EE46" i="4" s="1"/>
  <c r="EN46" i="4" s="1"/>
  <c r="AA43" i="4"/>
  <c r="AJ43" i="4" s="1"/>
  <c r="AS43" i="4" s="1"/>
  <c r="BB43" i="4" s="1"/>
  <c r="BK43" i="4" s="1"/>
  <c r="BT43" i="4" s="1"/>
  <c r="CC43" i="4" s="1"/>
  <c r="CL43" i="4" s="1"/>
  <c r="CU43" i="4" s="1"/>
  <c r="DD43" i="4" s="1"/>
  <c r="DM43" i="4" s="1"/>
  <c r="DV43" i="4" s="1"/>
  <c r="EE43" i="4" s="1"/>
  <c r="EN43" i="4" s="1"/>
  <c r="X40" i="4"/>
  <c r="AG40" i="4" s="1"/>
  <c r="AP40" i="4" s="1"/>
  <c r="AY40" i="4" s="1"/>
  <c r="BH40" i="4" s="1"/>
  <c r="BQ40" i="4" s="1"/>
  <c r="BZ40" i="4" s="1"/>
  <c r="CI40" i="4" s="1"/>
  <c r="CR40" i="4" s="1"/>
  <c r="DA40" i="4" s="1"/>
  <c r="DJ40" i="4" s="1"/>
  <c r="DS40" i="4" s="1"/>
  <c r="EB40" i="4" s="1"/>
  <c r="EK40" i="4" s="1"/>
  <c r="U40" i="4"/>
  <c r="AD40" i="4" s="1"/>
  <c r="AM40" i="4" s="1"/>
  <c r="AV40" i="4" s="1"/>
  <c r="BE40" i="4" s="1"/>
  <c r="BN40" i="4" s="1"/>
  <c r="BW40" i="4" s="1"/>
  <c r="CF40" i="4" s="1"/>
  <c r="CO40" i="4" s="1"/>
  <c r="CX40" i="4" s="1"/>
  <c r="DG40" i="4" s="1"/>
  <c r="DP40" i="4" s="1"/>
  <c r="DY40" i="4" s="1"/>
  <c r="EH40" i="4" s="1"/>
  <c r="R49" i="4"/>
  <c r="AA49" i="4" s="1"/>
  <c r="AJ49" i="4" s="1"/>
  <c r="AS49" i="4" s="1"/>
  <c r="BB49" i="4" s="1"/>
  <c r="BK49" i="4" s="1"/>
  <c r="BT49" i="4" s="1"/>
  <c r="CC49" i="4" s="1"/>
  <c r="CL49" i="4" s="1"/>
  <c r="CU49" i="4" s="1"/>
  <c r="DD49" i="4" s="1"/>
  <c r="DM49" i="4" s="1"/>
  <c r="DV49" i="4" s="1"/>
  <c r="EE49" i="4" s="1"/>
  <c r="EN49" i="4" s="1"/>
</calcChain>
</file>

<file path=xl/sharedStrings.xml><?xml version="1.0" encoding="utf-8"?>
<sst xmlns="http://schemas.openxmlformats.org/spreadsheetml/2006/main" count="1018" uniqueCount="204">
  <si>
    <t>S</t>
  </si>
  <si>
    <t>Width</t>
  </si>
  <si>
    <t>Input</t>
  </si>
  <si>
    <t>Process</t>
  </si>
  <si>
    <t xml:space="preserve">Sequence </t>
  </si>
  <si>
    <t>direction</t>
  </si>
  <si>
    <t>[position1, direction1]</t>
  </si>
  <si>
    <t>detachable_number</t>
  </si>
  <si>
    <t>length(position1)</t>
  </si>
  <si>
    <t>find (S == 0)</t>
  </si>
  <si>
    <t>loc</t>
  </si>
  <si>
    <t>unidrnd(detachable_number)</t>
  </si>
  <si>
    <t>generates random numbers from the discrete uniform distribution specified by its maximum value n.</t>
  </si>
  <si>
    <t>temp</t>
  </si>
  <si>
    <t>sequence(1)</t>
  </si>
  <si>
    <t>direction(1)</t>
  </si>
  <si>
    <t>S(temp,:)</t>
  </si>
  <si>
    <t>bee(1).sequence</t>
  </si>
  <si>
    <t>bee(1).direction</t>
  </si>
  <si>
    <t>bee(1).tool</t>
  </si>
  <si>
    <t>inf</t>
  </si>
  <si>
    <t>[position2, direction2]</t>
  </si>
  <si>
    <t>position2(loc)</t>
  </si>
  <si>
    <t>length(position2)</t>
  </si>
  <si>
    <t>sequence(2)</t>
  </si>
  <si>
    <t>direction(2)</t>
  </si>
  <si>
    <t>.</t>
  </si>
  <si>
    <t>@Func1@generate_global_solution</t>
  </si>
  <si>
    <t>No. Component</t>
  </si>
  <si>
    <t>Output</t>
  </si>
  <si>
    <t>@Func2_miss@Disassembly_tool</t>
  </si>
  <si>
    <t>distance_matrix</t>
  </si>
  <si>
    <t>tool</t>
  </si>
  <si>
    <t>penalty_value</t>
  </si>
  <si>
    <t>distance</t>
  </si>
  <si>
    <t>penalty_value_tool</t>
  </si>
  <si>
    <t>for i = 1:width-1 ## i = 1</t>
  </si>
  <si>
    <t>m</t>
  </si>
  <si>
    <t>=i</t>
  </si>
  <si>
    <t>n</t>
  </si>
  <si>
    <t>=i+1</t>
  </si>
  <si>
    <t>direction_penalty</t>
  </si>
  <si>
    <t>tool_penalty</t>
  </si>
  <si>
    <t>width</t>
  </si>
  <si>
    <t>direction(m)</t>
  </si>
  <si>
    <t>direction(n)</t>
  </si>
  <si>
    <t>tool_penalty(tool(m),tool(n))+penalty_value_tool</t>
  </si>
  <si>
    <t>tool(m)</t>
  </si>
  <si>
    <t>tool(n)</t>
  </si>
  <si>
    <t>tool_penalty(tool(m),tool(n))</t>
  </si>
  <si>
    <t>distance_matrix(sequence(m),sequence(n))+distance</t>
  </si>
  <si>
    <t>sequence(m)</t>
  </si>
  <si>
    <t>sequence(n)</t>
  </si>
  <si>
    <t>distance_matrix(sequence(m),sequence(n))</t>
  </si>
  <si>
    <t>for i = 1:width-1 ## i = 2</t>
  </si>
  <si>
    <t>for i = 1:width-1 ## i = 3</t>
  </si>
  <si>
    <t>for i = 1:width-1 ## i = 4</t>
  </si>
  <si>
    <t>for i = 1:width-1 ## i = 5</t>
  </si>
  <si>
    <t>direction_penalty(direction(m),direction(n))</t>
  </si>
  <si>
    <t>direction_penalty(direction(m),direction(n))+penalty_value</t>
  </si>
  <si>
    <t>for i = 1:width-1 ## i = 6</t>
  </si>
  <si>
    <t>for i = 1:width-1 ## i = 7</t>
  </si>
  <si>
    <t>for i = 1:width-1 ## i = 8</t>
  </si>
  <si>
    <t>for i = 1:width-1 ## i = 9</t>
  </si>
  <si>
    <t>for i = 1:width-1 ## i = 10</t>
  </si>
  <si>
    <t>for i = 1:width-1 ## i = 11</t>
  </si>
  <si>
    <t>for i = 1:width-1 ## i = 12</t>
  </si>
  <si>
    <t>for i = 1:width-1 ## i = 13</t>
  </si>
  <si>
    <t>for i = 1:width-1 ## i = 14</t>
  </si>
  <si>
    <t>for i = 1:width-1 ## i = 15</t>
  </si>
  <si>
    <t>for i = 1:width-1 ## i = 16</t>
  </si>
  <si>
    <t>cost1</t>
  </si>
  <si>
    <t>cost2</t>
  </si>
  <si>
    <t>@Func3@fitness</t>
  </si>
  <si>
    <t>for i = 1:nScoutBee ## i = 1</t>
  </si>
  <si>
    <t>bee(i).sequence</t>
  </si>
  <si>
    <t>bee(i).direction</t>
  </si>
  <si>
    <t>bee(i).tool</t>
  </si>
  <si>
    <t>bee(i).directionchange</t>
  </si>
  <si>
    <t>bee(i).toolchange</t>
  </si>
  <si>
    <t>bee(i).distance</t>
  </si>
  <si>
    <t>bee(i).totalcost</t>
  </si>
  <si>
    <t>bee(i).distance/speed+bee(i).toolchange+bee(i).directionchange*timescale</t>
  </si>
  <si>
    <t>speed</t>
  </si>
  <si>
    <t>timescale</t>
  </si>
  <si>
    <t>runtimes</t>
  </si>
  <si>
    <t>nScoutBee</t>
  </si>
  <si>
    <t>for i = 1:nScoutBee ## i = 50</t>
  </si>
  <si>
    <t>bee.totalcost</t>
  </si>
  <si>
    <t>[~, SortOrder]</t>
  </si>
  <si>
    <t>1X50 double, ascending sort</t>
  </si>
  <si>
    <t>bee(SortOrder)</t>
  </si>
  <si>
    <t>bee</t>
  </si>
  <si>
    <t>bee(1)</t>
  </si>
  <si>
    <t>BestSol</t>
  </si>
  <si>
    <t>bee(1).directionchange</t>
  </si>
  <si>
    <t>bee(1).toolchange</t>
  </si>
  <si>
    <t>bee(1).distance</t>
  </si>
  <si>
    <t>bee(1).totalcost</t>
  </si>
  <si>
    <t>MaxIt</t>
  </si>
  <si>
    <t>BestTotaltime</t>
  </si>
  <si>
    <t>zeros(MaxIt,1)</t>
  </si>
  <si>
    <t xml:space="preserve">… </t>
  </si>
  <si>
    <t>500 total</t>
  </si>
  <si>
    <t>for it = 1:MaxIt ## it = 1</t>
  </si>
  <si>
    <t>nEliteSite</t>
  </si>
  <si>
    <t>fprintf(MaxIt,nScoutBee,run,it)</t>
  </si>
  <si>
    <t>bestnewbee.totalcost</t>
  </si>
  <si>
    <t>type</t>
  </si>
  <si>
    <t>unidrnd(2)</t>
  </si>
  <si>
    <t>if</t>
  </si>
  <si>
    <t>pos</t>
  </si>
  <si>
    <t>randperm(width)</t>
  </si>
  <si>
    <t>returns a row vector containing a random permutation of the integers from 1 to n without repeating elements.</t>
  </si>
  <si>
    <t>random_position1</t>
  </si>
  <si>
    <t>random_position2</t>
  </si>
  <si>
    <t>temp1</t>
  </si>
  <si>
    <t>sequence(random_position1)</t>
  </si>
  <si>
    <t>temp2</t>
  </si>
  <si>
    <t>direction(random_position1)</t>
  </si>
  <si>
    <t>sequence(random_position2)</t>
  </si>
  <si>
    <t>direction(random_position2)</t>
  </si>
  <si>
    <t>sequence_offspring</t>
  </si>
  <si>
    <t>sequence</t>
  </si>
  <si>
    <t>direction_offspring</t>
  </si>
  <si>
    <t>random_sequence_position &gt; random_candidate_position</t>
  </si>
  <si>
    <t>random_sequence_position</t>
  </si>
  <si>
    <t>pos(1)</t>
  </si>
  <si>
    <t>random_candidate_position</t>
  </si>
  <si>
    <t>pos(2)</t>
  </si>
  <si>
    <t>temp_sequence</t>
  </si>
  <si>
    <t>type2</t>
  </si>
  <si>
    <t>else</t>
  </si>
  <si>
    <t>sequence(random_sequence_position:random_candidate_position)</t>
  </si>
  <si>
    <t>temp_direction</t>
  </si>
  <si>
    <t>direction(random_sequence_position:random_candidate_position)</t>
  </si>
  <si>
    <t>length</t>
  </si>
  <si>
    <t>random_candidate_position - random_sequence_position + 1</t>
  </si>
  <si>
    <t>sequence_offspring(random_sequence_position:random_candidate_position)</t>
  </si>
  <si>
    <t>[temp_sequence(2:length),temp_sequence(1)]</t>
  </si>
  <si>
    <t>direction_offspring(random_sequence_position:random_candidate_position)</t>
  </si>
  <si>
    <t>[temp_direction(2:length),temp_direction(1)]</t>
  </si>
  <si>
    <t>similar as else</t>
  </si>
  <si>
    <t>for i = 1:nEliteSite ## i = 1</t>
  </si>
  <si>
    <t>for j = 1:nEliteSiteBee ## j = 1</t>
  </si>
  <si>
    <t>[offspring1,offspring_direction1]</t>
  </si>
  <si>
    <t>@Func4@PerformBeeDance_swap</t>
  </si>
  <si>
    <t>@Func5@checkfeasibility</t>
  </si>
  <si>
    <t>temp_S</t>
  </si>
  <si>
    <t>temp_S(sequence(i),direction(i)) == 0</t>
  </si>
  <si>
    <t>i==width</t>
  </si>
  <si>
    <t>break</t>
  </si>
  <si>
    <t>output value is 1</t>
  </si>
  <si>
    <t>non-feasible sequence</t>
  </si>
  <si>
    <t>output value is 0</t>
  </si>
  <si>
    <t>feasible sequence</t>
  </si>
  <si>
    <t>while</t>
  </si>
  <si>
    <t>offspring_feasibility</t>
  </si>
  <si>
    <t>do</t>
  </si>
  <si>
    <t>directionchange</t>
  </si>
  <si>
    <t>toolchange</t>
  </si>
  <si>
    <t>totalcost</t>
  </si>
  <si>
    <t>…</t>
  </si>
  <si>
    <t>newbee</t>
  </si>
  <si>
    <t>newbee.totalcost&lt;bestnewbee.totalcost</t>
  </si>
  <si>
    <t>bestnewbee=newbee</t>
  </si>
  <si>
    <t>Itf_xp</t>
  </si>
  <si>
    <t>Itf_xn</t>
  </si>
  <si>
    <t>Itf_yp</t>
  </si>
  <si>
    <t>Itf_yn</t>
  </si>
  <si>
    <t>Itf_zp</t>
  </si>
  <si>
    <t>Itf_zn</t>
  </si>
  <si>
    <t>sum(Itf_xp, 2)</t>
  </si>
  <si>
    <t>sum(Itf_xn, 2)</t>
  </si>
  <si>
    <t>sum(Itf_yp, 2)</t>
  </si>
  <si>
    <t>sum(Itf_yn, 2)</t>
  </si>
  <si>
    <t>sum(Itf_zp, 2)</t>
  </si>
  <si>
    <t>sum(Itf_zn, 2)</t>
  </si>
  <si>
    <t>[sum(Itf_xp,2),
 sum(Itf_xn, 2), sum(Itf_yp,2), 
sum(Itf_yn, 2),
sum(Itf_zp,2),
sum(Itf_zn, 2)]</t>
  </si>
  <si>
    <t>先随机选零件再随机选方向</t>
  </si>
  <si>
    <t>刨除随机选择的那个零件后，也要刨除其相应的所有其他方向上的选择</t>
  </si>
  <si>
    <t>也就是说：删除零件7时，所有有关零件7的方向选择要一起删除</t>
  </si>
  <si>
    <t>itf_xp</t>
  </si>
  <si>
    <t>itf_xn</t>
  </si>
  <si>
    <t>itf_yp</t>
  </si>
  <si>
    <t>itf_yn</t>
  </si>
  <si>
    <t>itf_zp</t>
  </si>
  <si>
    <t>itf_zn</t>
  </si>
  <si>
    <t>for i = 2:1:9 ## i = 2</t>
  </si>
  <si>
    <t>for i = 2:1:9 ## i = 3</t>
  </si>
  <si>
    <t>for i = 2:1:9 ## i = 9</t>
  </si>
  <si>
    <t>bla</t>
  </si>
  <si>
    <t>First to randomly pick up a component; then randomly to pick up a corresponding disassembly direction.</t>
  </si>
  <si>
    <t>After excluding the picked component, all of its disassembly flexible directions are need to be excluded as well</t>
  </si>
  <si>
    <t>for example, if component 7 is disassembled from the last step, all its disassembly direction options are deleted in this time of selction.</t>
  </si>
  <si>
    <t>temp_S(3,1) == 0</t>
  </si>
  <si>
    <t>temp_S(sequence(0),direction(0))</t>
  </si>
  <si>
    <t>temp_S(sequence(0),:)</t>
  </si>
  <si>
    <t>for i in range(0, num_comp)</t>
  </si>
  <si>
    <t>I = 0</t>
  </si>
  <si>
    <t>I = 1</t>
  </si>
  <si>
    <t>I = 8</t>
  </si>
  <si>
    <t>temp_S(2,4) == 0</t>
  </si>
  <si>
    <t>temp_S(6,1)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</si>
</sst>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0"/>
      <color theme="1"/>
      <name val="Consolas"/>
      <family val="3"/>
    </font>
    <font>
      <sz val="10"/>
      <color rgb="FFFF0000"/>
      <name val="Consolas"/>
      <family val="3"/>
    </font>
    <font>
      <sz val="10"/>
      <name val="Consolas"/>
      <family val="3"/>
    </font>
    <font>
      <u/>
      <sz val="11"/>
      <color theme="1" tint="4.9989318521683403E-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onsolas"/>
      <family val="3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2"/>
    </xf>
    <xf numFmtId="0" fontId="7" fillId="4" borderId="2" xfId="0" applyFont="1" applyFill="1" applyBorder="1" applyAlignment="1">
      <alignment horizontal="left" vertical="center" wrapText="1" indent="2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 indent="2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1" fillId="0" borderId="20" xfId="1" quotePrefix="1" applyBorder="1" applyAlignment="1">
      <alignment horizontal="center" vertical="center" wrapText="1"/>
    </xf>
    <xf numFmtId="0" fontId="11" fillId="0" borderId="20" xfId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2" xfId="1" quotePrefix="1" applyBorder="1" applyAlignment="1">
      <alignment horizontal="center" vertical="center" wrapText="1"/>
    </xf>
    <xf numFmtId="0" fontId="11" fillId="0" borderId="0" xfId="1" quotePrefix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" xfId="1" quotePrefix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 wrapText="1"/>
    </xf>
    <xf numFmtId="0" fontId="11" fillId="0" borderId="5" xfId="1" quotePrefix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3" xfId="0" applyFill="1" applyBorder="1"/>
    <xf numFmtId="0" fontId="0" fillId="5" borderId="4" xfId="0" applyFill="1" applyBorder="1"/>
    <xf numFmtId="0" fontId="0" fillId="5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0" fillId="5" borderId="6" xfId="0" applyFill="1" applyBorder="1"/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8" xfId="0" applyFill="1" applyBorder="1"/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shrinkToFit="1"/>
    </xf>
    <xf numFmtId="0" fontId="13" fillId="5" borderId="0" xfId="0" applyFont="1" applyFill="1" applyAlignment="1">
      <alignment horizontal="center" vertical="center" shrinkToFit="1"/>
    </xf>
    <xf numFmtId="0" fontId="13" fillId="5" borderId="5" xfId="0" applyFont="1" applyFill="1" applyBorder="1" applyAlignment="1">
      <alignment horizontal="center" vertical="center" shrinkToFit="1"/>
    </xf>
    <xf numFmtId="0" fontId="13" fillId="5" borderId="7" xfId="0" applyFont="1" applyFill="1" applyBorder="1" applyAlignment="1">
      <alignment horizontal="center" vertical="center" shrinkToFit="1"/>
    </xf>
    <xf numFmtId="0" fontId="1" fillId="5" borderId="0" xfId="0" applyFont="1" applyFill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7" xfId="0" quotePrefix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21" xfId="0" quotePrefix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434340</xdr:colOff>
      <xdr:row>5</xdr:row>
      <xdr:rowOff>83820</xdr:rowOff>
    </xdr:from>
    <xdr:to>
      <xdr:col>27</xdr:col>
      <xdr:colOff>441960</xdr:colOff>
      <xdr:row>7</xdr:row>
      <xdr:rowOff>15240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860FAB-7B09-41AB-ACA9-2D7781732950}"/>
            </a:ext>
          </a:extLst>
        </xdr:cNvPr>
        <xdr:cNvCxnSpPr/>
      </xdr:nvCxnSpPr>
      <xdr:spPr>
        <a:xfrm>
          <a:off x="10020300" y="998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9</xdr:row>
      <xdr:rowOff>38100</xdr:rowOff>
    </xdr:from>
    <xdr:to>
      <xdr:col>27</xdr:col>
      <xdr:colOff>411480</xdr:colOff>
      <xdr:row>10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D3D71C-F34B-47BB-B05E-A017276E5EE6}"/>
            </a:ext>
          </a:extLst>
        </xdr:cNvPr>
        <xdr:cNvCxnSpPr/>
      </xdr:nvCxnSpPr>
      <xdr:spPr>
        <a:xfrm>
          <a:off x="9989820" y="22326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15</xdr:row>
      <xdr:rowOff>76200</xdr:rowOff>
    </xdr:from>
    <xdr:to>
      <xdr:col>27</xdr:col>
      <xdr:colOff>403860</xdr:colOff>
      <xdr:row>17</xdr:row>
      <xdr:rowOff>7620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075CB32-C18F-49B5-9467-81AC0F74E6D0}"/>
            </a:ext>
          </a:extLst>
        </xdr:cNvPr>
        <xdr:cNvCxnSpPr/>
      </xdr:nvCxnSpPr>
      <xdr:spPr>
        <a:xfrm>
          <a:off x="9982200" y="35509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434340</xdr:colOff>
      <xdr:row>31</xdr:row>
      <xdr:rowOff>83820</xdr:rowOff>
    </xdr:from>
    <xdr:to>
      <xdr:col>27</xdr:col>
      <xdr:colOff>441960</xdr:colOff>
      <xdr:row>33</xdr:row>
      <xdr:rowOff>15240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7008C23-78A6-4FD8-B70E-53CB5F99160A}"/>
            </a:ext>
          </a:extLst>
        </xdr:cNvPr>
        <xdr:cNvCxnSpPr/>
      </xdr:nvCxnSpPr>
      <xdr:spPr>
        <a:xfrm>
          <a:off x="10226040" y="137922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403860</xdr:colOff>
      <xdr:row>35</xdr:row>
      <xdr:rowOff>38100</xdr:rowOff>
    </xdr:from>
    <xdr:to>
      <xdr:col>27</xdr:col>
      <xdr:colOff>411480</xdr:colOff>
      <xdr:row>36</xdr:row>
      <xdr:rowOff>152400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172F506-D9CB-42F8-8DA3-92CB8B179A13}"/>
            </a:ext>
          </a:extLst>
        </xdr:cNvPr>
        <xdr:cNvCxnSpPr/>
      </xdr:nvCxnSpPr>
      <xdr:spPr>
        <a:xfrm>
          <a:off x="10195560" y="224790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396240</xdr:colOff>
      <xdr:row>41</xdr:row>
      <xdr:rowOff>76200</xdr:rowOff>
    </xdr:from>
    <xdr:to>
      <xdr:col>27</xdr:col>
      <xdr:colOff>403860</xdr:colOff>
      <xdr:row>43</xdr:row>
      <xdr:rowOff>7620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C9276CD-9FC8-476F-A593-FAF1708A9F5B}"/>
            </a:ext>
          </a:extLst>
        </xdr:cNvPr>
        <xdr:cNvCxnSpPr/>
      </xdr:nvCxnSpPr>
      <xdr:spPr>
        <a:xfrm>
          <a:off x="10187940" y="3566160"/>
          <a:ext cx="762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144780</xdr:colOff>
      <xdr:row>1</xdr:row>
      <xdr:rowOff>175260</xdr:rowOff>
    </xdr:from>
    <xdr:to>
      <xdr:col>47</xdr:col>
      <xdr:colOff>335280</xdr:colOff>
      <xdr:row>1</xdr:row>
      <xdr:rowOff>190500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08643D4-C7F1-4CC8-ABA4-2233876D0DDB}"/>
            </a:ext>
          </a:extLst>
        </xdr:cNvPr>
        <xdr:cNvCxnSpPr/>
      </xdr:nvCxnSpPr>
      <xdr:spPr>
        <a:xfrm>
          <a:off x="22585680" y="365760"/>
          <a:ext cx="5181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152400</xdr:colOff>
      <xdr:row>1</xdr:row>
      <xdr:rowOff>175260</xdr:rowOff>
    </xdr:from>
    <xdr:to>
      <xdr:col>51</xdr:col>
      <xdr:colOff>297180</xdr:colOff>
      <xdr:row>1</xdr:row>
      <xdr:rowOff>182880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D56E6508-DC81-4928-80BF-F1AF8EA171B0}"/>
            </a:ext>
          </a:extLst>
        </xdr:cNvPr>
        <xdr:cNvCxnSpPr/>
      </xdr:nvCxnSpPr>
      <xdr:spPr>
        <a:xfrm>
          <a:off x="25031700" y="365760"/>
          <a:ext cx="5105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754380</xdr:colOff>
      <xdr:row>3</xdr:row>
      <xdr:rowOff>68580</xdr:rowOff>
    </xdr:from>
    <xdr:to>
      <xdr:col>52</xdr:col>
      <xdr:colOff>754380</xdr:colOff>
      <xdr:row>3</xdr:row>
      <xdr:rowOff>335280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585F62D5-9406-4963-98EB-33DCD677B9D3}"/>
            </a:ext>
          </a:extLst>
        </xdr:cNvPr>
        <xdr:cNvCxnSpPr/>
      </xdr:nvCxnSpPr>
      <xdr:spPr>
        <a:xfrm>
          <a:off x="19194780" y="998220"/>
          <a:ext cx="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716280</xdr:colOff>
      <xdr:row>6</xdr:row>
      <xdr:rowOff>83820</xdr:rowOff>
    </xdr:from>
    <xdr:to>
      <xdr:col>52</xdr:col>
      <xdr:colOff>716280</xdr:colOff>
      <xdr:row>7</xdr:row>
      <xdr:rowOff>281940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780AD1E-ACCE-4D25-AEE1-AD338C32B808}"/>
            </a:ext>
          </a:extLst>
        </xdr:cNvPr>
        <xdr:cNvCxnSpPr/>
      </xdr:nvCxnSpPr>
      <xdr:spPr>
        <a:xfrm>
          <a:off x="19225260" y="1744980"/>
          <a:ext cx="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109"/>
  <sheetViews>
    <sheetView topLeftCell="S1" workbookViewId="0">
      <selection activeCell="AV9" sqref="AV9"/>
    </sheetView>
  </sheetViews>
  <sheetFormatPr baseColWidth="10" defaultColWidth="8.83203125" defaultRowHeight="15" x14ac:dyDescent="0.2"/>
  <cols>
    <col min="1" max="1" width="8.83203125" style="2"/>
    <col min="2" max="2" width="16.33203125" style="2" bestFit="1" customWidth="1"/>
    <col min="3" max="15" width="2" style="2" bestFit="1" customWidth="1"/>
    <col min="16" max="16" width="22.83203125" style="2" bestFit="1" customWidth="1"/>
    <col min="17" max="17" width="7.33203125" style="2" bestFit="1" customWidth="1"/>
    <col min="18" max="18" width="8.83203125" style="2"/>
    <col min="19" max="19" width="22" style="2" bestFit="1" customWidth="1"/>
    <col min="20" max="20" width="4" style="2" bestFit="1" customWidth="1"/>
    <col min="21" max="21" width="3" style="2" bestFit="1" customWidth="1"/>
    <col min="22" max="26" width="3" style="2" customWidth="1"/>
    <col min="27" max="27" width="8.83203125" style="2"/>
    <col min="28" max="28" width="19.1640625" style="2" bestFit="1" customWidth="1"/>
    <col min="29" max="29" width="11.5" style="2" bestFit="1" customWidth="1"/>
    <col min="30" max="30" width="9.6640625" style="2" bestFit="1" customWidth="1"/>
    <col min="31" max="36" width="3" style="2" bestFit="1" customWidth="1"/>
    <col min="37" max="37" width="2" style="2" bestFit="1" customWidth="1"/>
    <col min="38" max="42" width="3" style="2" bestFit="1" customWidth="1"/>
    <col min="43" max="46" width="2" style="2" bestFit="1" customWidth="1"/>
    <col min="47" max="47" width="4.83203125" style="2" customWidth="1"/>
    <col min="48" max="48" width="5.6640625" style="2" customWidth="1"/>
    <col min="49" max="49" width="9.6640625" style="2" bestFit="1" customWidth="1"/>
    <col min="50" max="50" width="11.83203125" style="2" bestFit="1" customWidth="1"/>
    <col min="51" max="51" width="5.33203125" style="2" customWidth="1"/>
    <col min="52" max="52" width="5.5" style="2" customWidth="1"/>
    <col min="53" max="53" width="23.33203125" style="2" bestFit="1" customWidth="1"/>
    <col min="54" max="54" width="16.83203125" style="2" bestFit="1" customWidth="1"/>
    <col min="55" max="55" width="7.5" style="2" bestFit="1" customWidth="1"/>
    <col min="56" max="67" width="3" style="2" bestFit="1" customWidth="1"/>
    <col min="68" max="68" width="2" style="2" bestFit="1" customWidth="1"/>
    <col min="69" max="77" width="3" style="2" bestFit="1" customWidth="1"/>
    <col min="78" max="78" width="2" style="2" bestFit="1" customWidth="1"/>
    <col min="79" max="86" width="3" style="2" bestFit="1" customWidth="1"/>
    <col min="87" max="87" width="2" style="2" bestFit="1" customWidth="1"/>
    <col min="88" max="94" width="3" style="2" bestFit="1" customWidth="1"/>
    <col min="95" max="95" width="2" style="2" bestFit="1" customWidth="1"/>
    <col min="96" max="96" width="3" style="2" bestFit="1" customWidth="1"/>
    <col min="97" max="97" width="2" style="2" bestFit="1" customWidth="1"/>
    <col min="98" max="103" width="3" style="2" bestFit="1" customWidth="1"/>
    <col min="104" max="16384" width="8.83203125" style="2"/>
  </cols>
  <sheetData>
    <row r="1" spans="2:103" ht="17" thickBot="1" x14ac:dyDescent="0.25">
      <c r="B1" s="1" t="s">
        <v>2</v>
      </c>
      <c r="AB1" s="1" t="s">
        <v>3</v>
      </c>
    </row>
    <row r="2" spans="2:103" ht="33" thickBot="1" x14ac:dyDescent="0.25">
      <c r="AB2" s="64" t="s">
        <v>74</v>
      </c>
      <c r="AC2" s="17"/>
      <c r="AD2" s="72" t="s">
        <v>86</v>
      </c>
      <c r="AE2" s="73">
        <v>50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8"/>
      <c r="AW2" s="3" t="s">
        <v>86</v>
      </c>
      <c r="AX2" s="15" t="s">
        <v>88</v>
      </c>
      <c r="BA2" s="76" t="s">
        <v>89</v>
      </c>
      <c r="BB2" s="4">
        <v>12</v>
      </c>
      <c r="BC2" s="4">
        <v>42</v>
      </c>
      <c r="BD2" s="4">
        <v>14</v>
      </c>
      <c r="BE2" s="4">
        <v>2</v>
      </c>
      <c r="BF2" s="4">
        <v>1</v>
      </c>
      <c r="BG2" s="4">
        <v>30</v>
      </c>
      <c r="BH2" s="4">
        <v>22</v>
      </c>
      <c r="BI2" s="4">
        <v>21</v>
      </c>
      <c r="BJ2" s="4">
        <v>39</v>
      </c>
      <c r="BK2" s="4">
        <v>4</v>
      </c>
      <c r="BL2" s="4">
        <v>50</v>
      </c>
      <c r="BM2" s="4">
        <v>29</v>
      </c>
      <c r="BN2" s="4">
        <v>37</v>
      </c>
      <c r="BO2" s="4">
        <v>38</v>
      </c>
      <c r="BP2" s="4">
        <v>6</v>
      </c>
      <c r="BQ2" s="4">
        <v>7</v>
      </c>
      <c r="BR2" s="4">
        <v>47</v>
      </c>
      <c r="BS2" s="4">
        <v>24</v>
      </c>
      <c r="BT2" s="4">
        <v>11</v>
      </c>
      <c r="BU2" s="4">
        <v>27</v>
      </c>
      <c r="BV2" s="4">
        <v>28</v>
      </c>
      <c r="BW2" s="4">
        <v>46</v>
      </c>
      <c r="BX2" s="4">
        <v>45</v>
      </c>
      <c r="BY2" s="4">
        <v>23</v>
      </c>
      <c r="BZ2" s="4">
        <v>5</v>
      </c>
      <c r="CA2" s="4">
        <v>16</v>
      </c>
      <c r="CB2" s="4">
        <v>19</v>
      </c>
      <c r="CC2" s="4">
        <v>25</v>
      </c>
      <c r="CD2" s="4">
        <v>49</v>
      </c>
      <c r="CE2" s="4">
        <v>33</v>
      </c>
      <c r="CF2" s="4">
        <v>48</v>
      </c>
      <c r="CG2" s="4">
        <v>18</v>
      </c>
      <c r="CH2" s="4">
        <v>44</v>
      </c>
      <c r="CI2" s="4">
        <v>8</v>
      </c>
      <c r="CJ2" s="4">
        <v>13</v>
      </c>
      <c r="CK2" s="4">
        <v>17</v>
      </c>
      <c r="CL2" s="4">
        <v>43</v>
      </c>
      <c r="CM2" s="4">
        <v>15</v>
      </c>
      <c r="CN2" s="4">
        <v>26</v>
      </c>
      <c r="CO2" s="4">
        <v>32</v>
      </c>
      <c r="CP2" s="4">
        <v>31</v>
      </c>
      <c r="CQ2" s="4">
        <v>3</v>
      </c>
      <c r="CR2" s="4">
        <v>41</v>
      </c>
      <c r="CS2" s="4">
        <v>9</v>
      </c>
      <c r="CT2" s="4">
        <v>40</v>
      </c>
      <c r="CU2" s="4">
        <v>36</v>
      </c>
      <c r="CV2" s="4">
        <v>34</v>
      </c>
      <c r="CW2" s="4">
        <v>10</v>
      </c>
      <c r="CX2" s="4">
        <v>20</v>
      </c>
      <c r="CY2" s="5">
        <v>35</v>
      </c>
    </row>
    <row r="3" spans="2:103" ht="32" x14ac:dyDescent="0.2">
      <c r="B3" s="130" t="s">
        <v>166</v>
      </c>
      <c r="C3" s="131">
        <v>0</v>
      </c>
      <c r="D3" s="131">
        <v>0</v>
      </c>
      <c r="E3" s="131">
        <v>0</v>
      </c>
      <c r="F3" s="131">
        <v>1</v>
      </c>
      <c r="G3" s="131">
        <v>0</v>
      </c>
      <c r="H3" s="131">
        <v>1</v>
      </c>
      <c r="I3" s="131">
        <v>1</v>
      </c>
      <c r="J3" s="131">
        <v>1</v>
      </c>
      <c r="K3" s="132">
        <v>0</v>
      </c>
      <c r="L3" s="133"/>
      <c r="M3" s="133"/>
      <c r="N3" s="133"/>
      <c r="O3" s="133"/>
      <c r="P3" s="130" t="s">
        <v>172</v>
      </c>
      <c r="Q3" s="134">
        <f t="shared" ref="Q3:Q11" si="0">SUM(C3:K3)</f>
        <v>4</v>
      </c>
      <c r="R3" s="133"/>
      <c r="S3" s="130" t="s">
        <v>0</v>
      </c>
      <c r="T3" s="135">
        <v>4</v>
      </c>
      <c r="U3" s="136">
        <v>3</v>
      </c>
      <c r="V3" s="136">
        <v>0</v>
      </c>
      <c r="W3" s="136">
        <v>0</v>
      </c>
      <c r="X3" s="136">
        <v>3</v>
      </c>
      <c r="Y3" s="134">
        <v>3</v>
      </c>
      <c r="AB3" s="107" t="s">
        <v>27</v>
      </c>
      <c r="AC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6"/>
      <c r="AW3" s="75">
        <v>1</v>
      </c>
      <c r="AX3" s="59">
        <v>119.26666666666701</v>
      </c>
      <c r="BA3" s="77" t="s">
        <v>90</v>
      </c>
      <c r="BB3" s="6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2"/>
    </row>
    <row r="4" spans="2:103" ht="96" x14ac:dyDescent="0.2">
      <c r="B4" s="137"/>
      <c r="C4" s="138">
        <v>0</v>
      </c>
      <c r="D4" s="138">
        <v>0</v>
      </c>
      <c r="E4" s="138">
        <v>1</v>
      </c>
      <c r="F4" s="138">
        <v>0</v>
      </c>
      <c r="G4" s="138">
        <v>0</v>
      </c>
      <c r="H4" s="138">
        <v>1</v>
      </c>
      <c r="I4" s="138">
        <v>1</v>
      </c>
      <c r="J4" s="138">
        <v>0</v>
      </c>
      <c r="K4" s="139">
        <v>0</v>
      </c>
      <c r="L4" s="133"/>
      <c r="M4" s="133"/>
      <c r="N4" s="133"/>
      <c r="O4" s="133"/>
      <c r="P4" s="137"/>
      <c r="Q4" s="140">
        <f t="shared" si="0"/>
        <v>3</v>
      </c>
      <c r="R4" s="133"/>
      <c r="S4" s="137" t="s">
        <v>178</v>
      </c>
      <c r="T4" s="137">
        <v>3</v>
      </c>
      <c r="U4" s="133">
        <v>2</v>
      </c>
      <c r="V4" s="133">
        <v>1</v>
      </c>
      <c r="W4" s="133">
        <v>1</v>
      </c>
      <c r="X4" s="133">
        <v>1</v>
      </c>
      <c r="Y4" s="140">
        <v>3</v>
      </c>
      <c r="AB4" s="65" t="s">
        <v>75</v>
      </c>
      <c r="AC4" s="3" t="s">
        <v>4</v>
      </c>
      <c r="AD4" s="133">
        <v>7</v>
      </c>
      <c r="AE4" s="133">
        <v>8</v>
      </c>
      <c r="AF4" s="133" t="s">
        <v>191</v>
      </c>
      <c r="AG4" s="133" t="s">
        <v>191</v>
      </c>
      <c r="AH4" s="133" t="s">
        <v>191</v>
      </c>
      <c r="AI4" s="133" t="s">
        <v>191</v>
      </c>
      <c r="AJ4" s="133" t="s">
        <v>191</v>
      </c>
      <c r="AK4" s="133" t="s">
        <v>191</v>
      </c>
      <c r="AL4" s="133" t="s">
        <v>191</v>
      </c>
      <c r="AM4" s="4"/>
      <c r="AN4" s="4"/>
      <c r="AO4" s="4"/>
      <c r="AP4" s="4"/>
      <c r="AQ4" s="4"/>
      <c r="AR4" s="4"/>
      <c r="AS4" s="4"/>
      <c r="AT4" s="46"/>
      <c r="AW4" s="75">
        <v>2</v>
      </c>
      <c r="AX4" s="59">
        <v>117.333333333333</v>
      </c>
      <c r="BA4" s="16"/>
      <c r="BB4" s="58"/>
    </row>
    <row r="5" spans="2:103" ht="49" thickBot="1" x14ac:dyDescent="0.25">
      <c r="B5" s="137"/>
      <c r="C5" s="138">
        <v>0</v>
      </c>
      <c r="D5" s="138">
        <v>0</v>
      </c>
      <c r="E5" s="138">
        <v>0</v>
      </c>
      <c r="F5" s="138">
        <v>1</v>
      </c>
      <c r="G5" s="138">
        <v>0</v>
      </c>
      <c r="H5" s="138">
        <v>1</v>
      </c>
      <c r="I5" s="138">
        <v>0</v>
      </c>
      <c r="J5" s="138">
        <v>0</v>
      </c>
      <c r="K5" s="139">
        <v>0</v>
      </c>
      <c r="L5" s="133"/>
      <c r="M5" s="133"/>
      <c r="N5" s="133"/>
      <c r="O5" s="133"/>
      <c r="P5" s="137"/>
      <c r="Q5" s="140">
        <f t="shared" si="0"/>
        <v>2</v>
      </c>
      <c r="R5" s="133"/>
      <c r="S5" s="137"/>
      <c r="T5" s="137">
        <v>2</v>
      </c>
      <c r="U5" s="133">
        <v>1</v>
      </c>
      <c r="V5" s="133">
        <v>1</v>
      </c>
      <c r="W5" s="133">
        <v>2</v>
      </c>
      <c r="X5" s="133">
        <v>1</v>
      </c>
      <c r="Y5" s="140">
        <v>2</v>
      </c>
      <c r="AB5" s="66" t="s">
        <v>76</v>
      </c>
      <c r="AC5" s="31" t="s">
        <v>5</v>
      </c>
      <c r="AD5" s="176">
        <v>4</v>
      </c>
      <c r="AE5" s="176">
        <v>1</v>
      </c>
      <c r="AF5" s="176" t="s">
        <v>191</v>
      </c>
      <c r="AG5" s="176" t="s">
        <v>191</v>
      </c>
      <c r="AH5" s="176" t="s">
        <v>191</v>
      </c>
      <c r="AI5" s="176" t="s">
        <v>191</v>
      </c>
      <c r="AJ5" s="176" t="s">
        <v>191</v>
      </c>
      <c r="AK5" s="176" t="s">
        <v>191</v>
      </c>
      <c r="AL5" s="176" t="s">
        <v>191</v>
      </c>
      <c r="AM5" s="11"/>
      <c r="AN5" s="11"/>
      <c r="AO5" s="11"/>
      <c r="AP5" s="11"/>
      <c r="AQ5" s="11"/>
      <c r="AR5" s="11"/>
      <c r="AS5" s="11"/>
      <c r="AT5" s="48"/>
      <c r="AW5" s="75">
        <v>3</v>
      </c>
      <c r="AX5" s="59">
        <v>164.84166666666701</v>
      </c>
      <c r="BA5" s="78" t="s">
        <v>92</v>
      </c>
      <c r="BB5" s="4">
        <v>12</v>
      </c>
      <c r="BC5" s="4">
        <v>42</v>
      </c>
      <c r="BD5" s="4">
        <v>14</v>
      </c>
      <c r="BE5" s="4">
        <v>2</v>
      </c>
      <c r="BF5" s="4">
        <v>1</v>
      </c>
      <c r="BG5" s="4">
        <v>30</v>
      </c>
      <c r="BH5" s="4">
        <v>22</v>
      </c>
      <c r="BI5" s="4">
        <v>21</v>
      </c>
      <c r="BJ5" s="4">
        <v>39</v>
      </c>
      <c r="BK5" s="4">
        <v>4</v>
      </c>
      <c r="BL5" s="4">
        <v>50</v>
      </c>
      <c r="BM5" s="4">
        <v>29</v>
      </c>
      <c r="BN5" s="4">
        <v>37</v>
      </c>
      <c r="BO5" s="4">
        <v>38</v>
      </c>
      <c r="BP5" s="4">
        <v>6</v>
      </c>
      <c r="BQ5" s="4">
        <v>7</v>
      </c>
      <c r="BR5" s="4">
        <v>47</v>
      </c>
      <c r="BS5" s="4">
        <v>24</v>
      </c>
      <c r="BT5" s="4">
        <v>11</v>
      </c>
      <c r="BU5" s="4">
        <v>27</v>
      </c>
      <c r="BV5" s="4">
        <v>28</v>
      </c>
      <c r="BW5" s="4">
        <v>46</v>
      </c>
      <c r="BX5" s="4">
        <v>45</v>
      </c>
      <c r="BY5" s="4">
        <v>23</v>
      </c>
      <c r="BZ5" s="4">
        <v>5</v>
      </c>
      <c r="CA5" s="4">
        <v>16</v>
      </c>
      <c r="CB5" s="4">
        <v>19</v>
      </c>
      <c r="CC5" s="4">
        <v>25</v>
      </c>
      <c r="CD5" s="4">
        <v>49</v>
      </c>
      <c r="CE5" s="4">
        <v>33</v>
      </c>
      <c r="CF5" s="4">
        <v>48</v>
      </c>
      <c r="CG5" s="4">
        <v>18</v>
      </c>
      <c r="CH5" s="4">
        <v>44</v>
      </c>
      <c r="CI5" s="4">
        <v>8</v>
      </c>
      <c r="CJ5" s="4">
        <v>13</v>
      </c>
      <c r="CK5" s="4">
        <v>17</v>
      </c>
      <c r="CL5" s="4">
        <v>43</v>
      </c>
      <c r="CM5" s="4">
        <v>15</v>
      </c>
      <c r="CN5" s="4">
        <v>26</v>
      </c>
      <c r="CO5" s="4">
        <v>32</v>
      </c>
      <c r="CP5" s="4">
        <v>31</v>
      </c>
      <c r="CQ5" s="4">
        <v>3</v>
      </c>
      <c r="CR5" s="4">
        <v>41</v>
      </c>
      <c r="CS5" s="4">
        <v>9</v>
      </c>
      <c r="CT5" s="4">
        <v>40</v>
      </c>
      <c r="CU5" s="4">
        <v>36</v>
      </c>
      <c r="CV5" s="4">
        <v>34</v>
      </c>
      <c r="CW5" s="4">
        <v>10</v>
      </c>
      <c r="CX5" s="4">
        <v>20</v>
      </c>
      <c r="CY5" s="5">
        <v>35</v>
      </c>
    </row>
    <row r="6" spans="2:103" ht="16" x14ac:dyDescent="0.2">
      <c r="B6" s="137"/>
      <c r="C6" s="138">
        <v>0</v>
      </c>
      <c r="D6" s="138">
        <v>0</v>
      </c>
      <c r="E6" s="138">
        <v>0</v>
      </c>
      <c r="F6" s="138">
        <v>0</v>
      </c>
      <c r="G6" s="138">
        <v>0</v>
      </c>
      <c r="H6" s="138">
        <v>0</v>
      </c>
      <c r="I6" s="138">
        <v>0</v>
      </c>
      <c r="J6" s="138">
        <v>0</v>
      </c>
      <c r="K6" s="139">
        <v>0</v>
      </c>
      <c r="L6" s="133"/>
      <c r="M6" s="133"/>
      <c r="N6" s="133"/>
      <c r="O6" s="133"/>
      <c r="P6" s="137"/>
      <c r="Q6" s="140">
        <f t="shared" si="0"/>
        <v>0</v>
      </c>
      <c r="R6" s="133"/>
      <c r="S6" s="137"/>
      <c r="T6" s="137">
        <v>0</v>
      </c>
      <c r="U6" s="133">
        <v>0</v>
      </c>
      <c r="V6" s="133">
        <v>0</v>
      </c>
      <c r="W6" s="133">
        <v>1</v>
      </c>
      <c r="X6" s="133">
        <v>0</v>
      </c>
      <c r="Y6" s="140">
        <v>0</v>
      </c>
      <c r="AB6" s="67"/>
      <c r="AT6" s="19"/>
      <c r="AW6" s="75">
        <v>4</v>
      </c>
      <c r="AX6" s="59">
        <v>128.6</v>
      </c>
      <c r="BA6" s="60" t="s">
        <v>91</v>
      </c>
      <c r="BB6" s="6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2"/>
    </row>
    <row r="7" spans="2:103" x14ac:dyDescent="0.2">
      <c r="B7" s="137"/>
      <c r="C7" s="138">
        <v>0</v>
      </c>
      <c r="D7" s="138">
        <v>0</v>
      </c>
      <c r="E7" s="138">
        <v>0</v>
      </c>
      <c r="F7" s="138">
        <v>0</v>
      </c>
      <c r="G7" s="138">
        <v>0</v>
      </c>
      <c r="H7" s="138">
        <v>0</v>
      </c>
      <c r="I7" s="138">
        <v>0</v>
      </c>
      <c r="J7" s="138">
        <v>0</v>
      </c>
      <c r="K7" s="139">
        <v>0</v>
      </c>
      <c r="L7" s="133"/>
      <c r="M7" s="133"/>
      <c r="N7" s="133"/>
      <c r="O7" s="133"/>
      <c r="P7" s="137"/>
      <c r="Q7" s="140">
        <f t="shared" si="0"/>
        <v>0</v>
      </c>
      <c r="R7" s="133"/>
      <c r="S7" s="137"/>
      <c r="T7" s="137">
        <v>0</v>
      </c>
      <c r="U7" s="133">
        <v>6</v>
      </c>
      <c r="V7" s="133">
        <v>0</v>
      </c>
      <c r="W7" s="133">
        <v>0</v>
      </c>
      <c r="X7" s="133">
        <v>0</v>
      </c>
      <c r="Y7" s="140">
        <v>0</v>
      </c>
      <c r="AB7" s="67"/>
      <c r="AT7" s="19"/>
      <c r="AW7" s="75">
        <v>5</v>
      </c>
      <c r="AX7" s="59">
        <v>150.833333333333</v>
      </c>
      <c r="BA7" s="16"/>
      <c r="BB7" s="58"/>
    </row>
    <row r="8" spans="2:103" ht="32" x14ac:dyDescent="0.2">
      <c r="B8" s="137"/>
      <c r="C8" s="138">
        <v>0</v>
      </c>
      <c r="D8" s="138">
        <v>0</v>
      </c>
      <c r="E8" s="138">
        <v>0</v>
      </c>
      <c r="F8" s="138">
        <v>1</v>
      </c>
      <c r="G8" s="138">
        <v>1</v>
      </c>
      <c r="H8" s="138">
        <v>0</v>
      </c>
      <c r="I8" s="138">
        <v>0</v>
      </c>
      <c r="J8" s="138">
        <v>1</v>
      </c>
      <c r="K8" s="139">
        <v>0</v>
      </c>
      <c r="L8" s="133"/>
      <c r="M8" s="133"/>
      <c r="N8" s="133"/>
      <c r="O8" s="133"/>
      <c r="P8" s="137"/>
      <c r="Q8" s="140">
        <f t="shared" si="0"/>
        <v>3</v>
      </c>
      <c r="R8" s="133"/>
      <c r="S8" s="137"/>
      <c r="T8" s="137">
        <v>3</v>
      </c>
      <c r="U8" s="133">
        <v>1</v>
      </c>
      <c r="V8" s="133">
        <v>1</v>
      </c>
      <c r="W8" s="133">
        <v>1</v>
      </c>
      <c r="X8" s="133">
        <v>1</v>
      </c>
      <c r="Y8" s="140">
        <v>0</v>
      </c>
      <c r="AB8" s="107" t="s">
        <v>30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6"/>
      <c r="AW8" s="75">
        <v>6</v>
      </c>
      <c r="AX8" s="59">
        <v>138.47499999999999</v>
      </c>
    </row>
    <row r="9" spans="2:103" ht="16" x14ac:dyDescent="0.2">
      <c r="B9" s="137"/>
      <c r="C9" s="138">
        <v>0</v>
      </c>
      <c r="D9" s="138">
        <v>0</v>
      </c>
      <c r="E9" s="138">
        <v>0</v>
      </c>
      <c r="F9" s="138">
        <v>0</v>
      </c>
      <c r="G9" s="138">
        <v>1</v>
      </c>
      <c r="H9" s="138">
        <v>1</v>
      </c>
      <c r="I9" s="138">
        <v>0</v>
      </c>
      <c r="J9" s="138">
        <v>0</v>
      </c>
      <c r="K9" s="139">
        <v>0</v>
      </c>
      <c r="L9" s="133"/>
      <c r="M9" s="133"/>
      <c r="N9" s="133"/>
      <c r="O9" s="133"/>
      <c r="P9" s="137"/>
      <c r="Q9" s="140">
        <f t="shared" si="0"/>
        <v>2</v>
      </c>
      <c r="R9" s="133"/>
      <c r="S9" s="137"/>
      <c r="T9" s="137">
        <v>2</v>
      </c>
      <c r="U9" s="133">
        <v>1</v>
      </c>
      <c r="V9" s="133">
        <v>2</v>
      </c>
      <c r="W9" s="133">
        <v>2</v>
      </c>
      <c r="X9" s="133">
        <v>1</v>
      </c>
      <c r="Y9" s="140">
        <v>0</v>
      </c>
      <c r="AB9" s="69" t="s">
        <v>77</v>
      </c>
      <c r="AC9" s="6" t="s">
        <v>32</v>
      </c>
      <c r="AD9" s="13">
        <v>1</v>
      </c>
      <c r="AE9" s="13">
        <v>1</v>
      </c>
      <c r="AF9" s="13">
        <v>1</v>
      </c>
      <c r="AG9" s="13">
        <v>2</v>
      </c>
      <c r="AH9" s="13">
        <v>2</v>
      </c>
      <c r="AI9" s="13">
        <v>2</v>
      </c>
      <c r="AJ9" s="13">
        <v>2</v>
      </c>
      <c r="AK9" s="13">
        <v>3</v>
      </c>
      <c r="AL9" s="13">
        <v>4</v>
      </c>
      <c r="AM9" s="13"/>
      <c r="AN9" s="13"/>
      <c r="AO9" s="13"/>
      <c r="AP9" s="13"/>
      <c r="AQ9" s="13"/>
      <c r="AR9" s="13"/>
      <c r="AS9" s="13"/>
      <c r="AT9" s="21"/>
      <c r="AW9" s="75">
        <v>7</v>
      </c>
      <c r="AX9" s="59">
        <v>138.791666666667</v>
      </c>
      <c r="BA9" s="78" t="s">
        <v>94</v>
      </c>
      <c r="BB9" s="4" t="s">
        <v>17</v>
      </c>
      <c r="BC9" s="4">
        <v>14</v>
      </c>
      <c r="BD9" s="4">
        <v>16</v>
      </c>
      <c r="BE9" s="4">
        <v>17</v>
      </c>
      <c r="BF9" s="4">
        <v>15</v>
      </c>
      <c r="BG9" s="4">
        <v>3</v>
      </c>
      <c r="BH9" s="4">
        <v>2</v>
      </c>
      <c r="BI9" s="4">
        <v>1</v>
      </c>
      <c r="BJ9" s="4">
        <v>4</v>
      </c>
      <c r="BK9" s="4">
        <v>5</v>
      </c>
      <c r="BL9" s="4">
        <v>13</v>
      </c>
      <c r="BM9" s="4">
        <v>6</v>
      </c>
      <c r="BN9" s="4">
        <v>12</v>
      </c>
      <c r="BO9" s="4">
        <v>11</v>
      </c>
      <c r="BP9" s="4">
        <v>10</v>
      </c>
      <c r="BQ9" s="4">
        <v>7</v>
      </c>
      <c r="BR9" s="4">
        <v>8</v>
      </c>
      <c r="BS9" s="5">
        <v>9</v>
      </c>
    </row>
    <row r="10" spans="2:103" ht="16" x14ac:dyDescent="0.2">
      <c r="B10" s="137"/>
      <c r="C10" s="138">
        <v>0</v>
      </c>
      <c r="D10" s="138">
        <v>0</v>
      </c>
      <c r="E10" s="138">
        <v>0</v>
      </c>
      <c r="F10" s="138">
        <v>0</v>
      </c>
      <c r="G10" s="138">
        <v>0</v>
      </c>
      <c r="H10" s="138">
        <v>0</v>
      </c>
      <c r="I10" s="138">
        <v>0</v>
      </c>
      <c r="J10" s="138">
        <v>0</v>
      </c>
      <c r="K10" s="139">
        <v>0</v>
      </c>
      <c r="L10" s="133"/>
      <c r="M10" s="133"/>
      <c r="N10" s="133"/>
      <c r="O10" s="133"/>
      <c r="P10" s="137"/>
      <c r="Q10" s="140">
        <f t="shared" si="0"/>
        <v>0</v>
      </c>
      <c r="R10" s="133"/>
      <c r="S10" s="137"/>
      <c r="T10" s="137">
        <v>0</v>
      </c>
      <c r="U10" s="133">
        <v>0</v>
      </c>
      <c r="V10" s="133">
        <v>6</v>
      </c>
      <c r="W10" s="133">
        <v>0</v>
      </c>
      <c r="X10" s="133">
        <v>0</v>
      </c>
      <c r="Y10" s="140">
        <v>0</v>
      </c>
      <c r="AB10" s="20"/>
      <c r="AT10" s="19"/>
      <c r="AW10" s="75">
        <v>8</v>
      </c>
      <c r="AX10" s="59">
        <v>158.333333333333</v>
      </c>
      <c r="BA10" s="79" t="s">
        <v>93</v>
      </c>
      <c r="BB10" s="2" t="s">
        <v>18</v>
      </c>
      <c r="BC10" s="2">
        <v>1</v>
      </c>
      <c r="BD10" s="2">
        <v>1</v>
      </c>
      <c r="BE10" s="2">
        <v>1</v>
      </c>
      <c r="BF10" s="2">
        <v>1</v>
      </c>
      <c r="BG10" s="2">
        <v>2</v>
      </c>
      <c r="BH10" s="2">
        <v>2</v>
      </c>
      <c r="BI10" s="2">
        <v>2</v>
      </c>
      <c r="BJ10" s="2">
        <v>2</v>
      </c>
      <c r="BK10" s="2">
        <v>2</v>
      </c>
      <c r="BL10" s="2">
        <v>1</v>
      </c>
      <c r="BM10" s="2">
        <v>2</v>
      </c>
      <c r="BN10" s="2">
        <v>1</v>
      </c>
      <c r="BO10" s="2">
        <v>1</v>
      </c>
      <c r="BP10" s="2">
        <v>1</v>
      </c>
      <c r="BQ10" s="2">
        <v>2</v>
      </c>
      <c r="BR10" s="2">
        <v>2</v>
      </c>
      <c r="BS10" s="9">
        <v>1</v>
      </c>
    </row>
    <row r="11" spans="2:103" ht="16" x14ac:dyDescent="0.2">
      <c r="B11" s="141"/>
      <c r="C11" s="142">
        <v>0</v>
      </c>
      <c r="D11" s="142">
        <v>0</v>
      </c>
      <c r="E11" s="142">
        <v>0</v>
      </c>
      <c r="F11" s="142">
        <v>1</v>
      </c>
      <c r="G11" s="142">
        <v>0</v>
      </c>
      <c r="H11" s="142">
        <v>0</v>
      </c>
      <c r="I11" s="142">
        <v>0</v>
      </c>
      <c r="J11" s="142">
        <v>0</v>
      </c>
      <c r="K11" s="143">
        <v>0</v>
      </c>
      <c r="L11" s="133"/>
      <c r="M11" s="133"/>
      <c r="N11" s="133"/>
      <c r="O11" s="133"/>
      <c r="P11" s="141"/>
      <c r="Q11" s="144">
        <f t="shared" si="0"/>
        <v>1</v>
      </c>
      <c r="R11" s="133"/>
      <c r="S11" s="141"/>
      <c r="T11" s="141">
        <v>1</v>
      </c>
      <c r="U11" s="145">
        <v>0</v>
      </c>
      <c r="V11" s="145">
        <v>0</v>
      </c>
      <c r="W11" s="145">
        <v>2</v>
      </c>
      <c r="X11" s="145">
        <v>1</v>
      </c>
      <c r="Y11" s="144">
        <v>1</v>
      </c>
      <c r="AB11" s="20"/>
      <c r="AT11" s="19"/>
      <c r="AW11" s="75">
        <v>9</v>
      </c>
      <c r="AX11" s="59">
        <v>168.65</v>
      </c>
      <c r="BA11" s="75"/>
      <c r="BB11" s="2" t="s">
        <v>19</v>
      </c>
      <c r="BC11" s="2">
        <v>2</v>
      </c>
      <c r="BD11" s="2">
        <v>2</v>
      </c>
      <c r="BE11" s="2">
        <v>2</v>
      </c>
      <c r="BF11" s="2">
        <v>2</v>
      </c>
      <c r="BG11" s="2">
        <v>1</v>
      </c>
      <c r="BH11" s="2">
        <v>1</v>
      </c>
      <c r="BI11" s="2">
        <v>1</v>
      </c>
      <c r="BJ11" s="2">
        <v>3</v>
      </c>
      <c r="BK11" s="2">
        <v>3</v>
      </c>
      <c r="BL11" s="2">
        <v>4</v>
      </c>
      <c r="BM11" s="2">
        <v>4</v>
      </c>
      <c r="BN11" s="2">
        <v>3</v>
      </c>
      <c r="BO11" s="2">
        <v>4</v>
      </c>
      <c r="BP11" s="2">
        <v>4</v>
      </c>
      <c r="BQ11" s="2">
        <v>3</v>
      </c>
      <c r="BR11" s="2">
        <v>4</v>
      </c>
      <c r="BS11" s="9">
        <v>3</v>
      </c>
    </row>
    <row r="12" spans="2:103" ht="32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46" t="s">
        <v>1</v>
      </c>
      <c r="T12" s="144">
        <v>9</v>
      </c>
      <c r="U12" s="133"/>
      <c r="V12" s="133"/>
      <c r="W12" s="133"/>
      <c r="X12" s="133"/>
      <c r="Y12" s="133"/>
      <c r="AB12" s="108" t="s">
        <v>73</v>
      </c>
      <c r="AC12" s="4"/>
      <c r="AD12" s="5"/>
      <c r="AT12" s="19"/>
      <c r="AW12" s="75">
        <v>10</v>
      </c>
      <c r="AX12" s="59">
        <v>181.34166666666701</v>
      </c>
      <c r="BA12" s="75"/>
      <c r="BB12" s="58" t="s">
        <v>95</v>
      </c>
      <c r="BC12" s="2">
        <v>6</v>
      </c>
      <c r="BS12" s="9"/>
    </row>
    <row r="13" spans="2:103" ht="16" x14ac:dyDescent="0.2">
      <c r="B13" s="130" t="s">
        <v>167</v>
      </c>
      <c r="C13" s="131">
        <v>0</v>
      </c>
      <c r="D13" s="131">
        <v>0</v>
      </c>
      <c r="E13" s="131">
        <v>0</v>
      </c>
      <c r="F13" s="131">
        <v>1</v>
      </c>
      <c r="G13" s="131">
        <v>0</v>
      </c>
      <c r="H13" s="131">
        <v>0</v>
      </c>
      <c r="I13" s="131">
        <v>1</v>
      </c>
      <c r="J13" s="131">
        <v>1</v>
      </c>
      <c r="K13" s="132">
        <v>0</v>
      </c>
      <c r="L13" s="133"/>
      <c r="M13" s="133"/>
      <c r="N13" s="133"/>
      <c r="O13" s="133"/>
      <c r="P13" s="130" t="s">
        <v>173</v>
      </c>
      <c r="Q13" s="134">
        <f t="shared" ref="Q13:Q21" si="1">SUM(C13:K13)</f>
        <v>3</v>
      </c>
      <c r="R13" s="133"/>
      <c r="S13" s="133"/>
      <c r="T13" s="133"/>
      <c r="U13" s="133"/>
      <c r="V13" s="133"/>
      <c r="W13" s="133"/>
      <c r="X13" s="133"/>
      <c r="Y13" s="133"/>
      <c r="AB13" s="71" t="s">
        <v>78</v>
      </c>
      <c r="AC13" s="16" t="s">
        <v>71</v>
      </c>
      <c r="AD13" s="9">
        <v>7</v>
      </c>
      <c r="AT13" s="19"/>
      <c r="AW13" s="75">
        <v>11</v>
      </c>
      <c r="AX13" s="59">
        <v>144</v>
      </c>
      <c r="BA13" s="75"/>
      <c r="BB13" s="58" t="s">
        <v>96</v>
      </c>
      <c r="BC13" s="2">
        <v>9</v>
      </c>
      <c r="BS13" s="9"/>
    </row>
    <row r="14" spans="2:103" ht="16" x14ac:dyDescent="0.2">
      <c r="B14" s="137"/>
      <c r="C14" s="138">
        <v>0</v>
      </c>
      <c r="D14" s="138">
        <v>0</v>
      </c>
      <c r="E14" s="138">
        <v>1</v>
      </c>
      <c r="F14" s="138">
        <v>1</v>
      </c>
      <c r="G14" s="138">
        <v>0</v>
      </c>
      <c r="H14" s="138">
        <v>0</v>
      </c>
      <c r="I14" s="138">
        <v>0</v>
      </c>
      <c r="J14" s="138">
        <v>0</v>
      </c>
      <c r="K14" s="139">
        <v>0</v>
      </c>
      <c r="L14" s="133"/>
      <c r="M14" s="133"/>
      <c r="N14" s="133"/>
      <c r="O14" s="133"/>
      <c r="P14" s="137"/>
      <c r="Q14" s="140">
        <f t="shared" si="1"/>
        <v>2</v>
      </c>
      <c r="R14" s="133"/>
      <c r="S14" s="146" t="s">
        <v>83</v>
      </c>
      <c r="T14" s="147">
        <v>12</v>
      </c>
      <c r="U14" s="133"/>
      <c r="V14" s="133"/>
      <c r="W14" s="133"/>
      <c r="X14" s="133"/>
      <c r="Y14" s="133"/>
      <c r="AB14" s="71" t="s">
        <v>79</v>
      </c>
      <c r="AC14" s="16" t="s">
        <v>72</v>
      </c>
      <c r="AD14" s="9">
        <v>10</v>
      </c>
      <c r="AT14" s="19"/>
      <c r="AW14" s="75">
        <v>12</v>
      </c>
      <c r="AX14" s="59">
        <v>103.166666666667</v>
      </c>
      <c r="BA14" s="75"/>
      <c r="BB14" s="58" t="s">
        <v>97</v>
      </c>
      <c r="BC14" s="58">
        <v>1118.5999999999999</v>
      </c>
      <c r="BS14" s="9"/>
    </row>
    <row r="15" spans="2:103" ht="16" x14ac:dyDescent="0.2">
      <c r="B15" s="137"/>
      <c r="C15" s="138">
        <v>0</v>
      </c>
      <c r="D15" s="138">
        <v>0</v>
      </c>
      <c r="E15" s="138">
        <v>0</v>
      </c>
      <c r="F15" s="138">
        <v>1</v>
      </c>
      <c r="G15" s="138">
        <v>0</v>
      </c>
      <c r="H15" s="138">
        <v>0</v>
      </c>
      <c r="I15" s="138">
        <v>0</v>
      </c>
      <c r="J15" s="138">
        <v>0</v>
      </c>
      <c r="K15" s="139">
        <v>0</v>
      </c>
      <c r="L15" s="133"/>
      <c r="M15" s="133"/>
      <c r="N15" s="133"/>
      <c r="O15" s="133"/>
      <c r="P15" s="137"/>
      <c r="Q15" s="140">
        <f t="shared" si="1"/>
        <v>1</v>
      </c>
      <c r="R15" s="133"/>
      <c r="S15" s="133"/>
      <c r="T15" s="133"/>
      <c r="U15" s="133"/>
      <c r="V15" s="133"/>
      <c r="W15" s="133"/>
      <c r="X15" s="133"/>
      <c r="Y15" s="133"/>
      <c r="AB15" s="66" t="s">
        <v>80</v>
      </c>
      <c r="AC15" s="63" t="s">
        <v>34</v>
      </c>
      <c r="AD15" s="62">
        <v>1199.5</v>
      </c>
      <c r="AT15" s="19"/>
      <c r="AW15" s="75">
        <v>13</v>
      </c>
      <c r="AX15" s="59">
        <v>158.55000000000001</v>
      </c>
      <c r="BA15" s="31"/>
      <c r="BB15" s="61" t="s">
        <v>98</v>
      </c>
      <c r="BC15" s="61">
        <v>114.216666666667</v>
      </c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2"/>
    </row>
    <row r="16" spans="2:103" ht="16" x14ac:dyDescent="0.2">
      <c r="B16" s="137"/>
      <c r="C16" s="138">
        <v>0</v>
      </c>
      <c r="D16" s="138">
        <v>0</v>
      </c>
      <c r="E16" s="138">
        <v>0</v>
      </c>
      <c r="F16" s="138">
        <v>0</v>
      </c>
      <c r="G16" s="138">
        <v>0</v>
      </c>
      <c r="H16" s="138">
        <v>0</v>
      </c>
      <c r="I16" s="138">
        <v>0</v>
      </c>
      <c r="J16" s="138">
        <v>0</v>
      </c>
      <c r="K16" s="139">
        <v>0</v>
      </c>
      <c r="L16" s="133"/>
      <c r="M16" s="133"/>
      <c r="N16" s="133"/>
      <c r="O16" s="133"/>
      <c r="P16" s="137"/>
      <c r="Q16" s="140">
        <f t="shared" si="1"/>
        <v>0</v>
      </c>
      <c r="R16" s="133"/>
      <c r="S16" s="146" t="s">
        <v>84</v>
      </c>
      <c r="T16" s="147">
        <v>2</v>
      </c>
      <c r="U16" s="133"/>
      <c r="V16" s="133"/>
      <c r="W16" s="133"/>
      <c r="X16" s="133"/>
      <c r="Y16" s="133"/>
      <c r="AB16" s="20"/>
      <c r="AT16" s="19"/>
      <c r="AW16" s="75">
        <v>14</v>
      </c>
      <c r="AX16" s="59">
        <v>115.066666666667</v>
      </c>
      <c r="BA16" s="16"/>
      <c r="BB16" s="58"/>
    </row>
    <row r="17" spans="2:54" x14ac:dyDescent="0.2">
      <c r="B17" s="137"/>
      <c r="C17" s="138">
        <v>1</v>
      </c>
      <c r="D17" s="138">
        <v>1</v>
      </c>
      <c r="E17" s="138">
        <v>1</v>
      </c>
      <c r="F17" s="138">
        <v>1</v>
      </c>
      <c r="G17" s="138">
        <v>0</v>
      </c>
      <c r="H17" s="138">
        <v>0</v>
      </c>
      <c r="I17" s="138">
        <v>1</v>
      </c>
      <c r="J17" s="138">
        <v>1</v>
      </c>
      <c r="K17" s="139">
        <v>0</v>
      </c>
      <c r="L17" s="133"/>
      <c r="M17" s="133"/>
      <c r="N17" s="133"/>
      <c r="O17" s="133"/>
      <c r="P17" s="137"/>
      <c r="Q17" s="140">
        <f t="shared" si="1"/>
        <v>6</v>
      </c>
      <c r="R17" s="133"/>
      <c r="S17" s="133"/>
      <c r="T17" s="133"/>
      <c r="U17" s="133"/>
      <c r="V17" s="133"/>
      <c r="W17" s="133"/>
      <c r="X17" s="133"/>
      <c r="Y17" s="133"/>
      <c r="AB17" s="20"/>
      <c r="AT17" s="19"/>
      <c r="AW17" s="75">
        <v>15</v>
      </c>
      <c r="AX17" s="59">
        <v>159.13333333333301</v>
      </c>
      <c r="BA17" s="16"/>
      <c r="BB17" s="58"/>
    </row>
    <row r="18" spans="2:54" ht="16" x14ac:dyDescent="0.2">
      <c r="B18" s="137"/>
      <c r="C18" s="138">
        <v>0</v>
      </c>
      <c r="D18" s="138">
        <v>0</v>
      </c>
      <c r="E18" s="138">
        <v>0</v>
      </c>
      <c r="F18" s="138">
        <v>1</v>
      </c>
      <c r="G18" s="138">
        <v>0</v>
      </c>
      <c r="H18" s="138">
        <v>0</v>
      </c>
      <c r="I18" s="138">
        <v>0</v>
      </c>
      <c r="J18" s="138">
        <v>0</v>
      </c>
      <c r="K18" s="139">
        <v>0</v>
      </c>
      <c r="L18" s="133"/>
      <c r="M18" s="133"/>
      <c r="N18" s="133"/>
      <c r="O18" s="133"/>
      <c r="P18" s="137"/>
      <c r="Q18" s="140">
        <f t="shared" si="1"/>
        <v>1</v>
      </c>
      <c r="R18" s="133"/>
      <c r="S18" s="146" t="s">
        <v>85</v>
      </c>
      <c r="T18" s="147">
        <v>2</v>
      </c>
      <c r="U18" s="133"/>
      <c r="V18" s="133"/>
      <c r="W18" s="133"/>
      <c r="X18" s="133"/>
      <c r="Y18" s="133"/>
      <c r="AB18" s="65" t="s">
        <v>81</v>
      </c>
      <c r="AC18" s="5">
        <f>AD15/T14+AD14+AD13*T16</f>
        <v>123.95833333333333</v>
      </c>
      <c r="AT18" s="19"/>
      <c r="AW18" s="75">
        <v>16</v>
      </c>
      <c r="AX18" s="59">
        <v>152.333333333333</v>
      </c>
      <c r="BA18" s="16"/>
      <c r="BB18" s="58"/>
    </row>
    <row r="19" spans="2:54" ht="65" thickBot="1" x14ac:dyDescent="0.25">
      <c r="B19" s="137"/>
      <c r="C19" s="138">
        <v>0</v>
      </c>
      <c r="D19" s="138">
        <v>0</v>
      </c>
      <c r="E19" s="138">
        <v>0</v>
      </c>
      <c r="F19" s="138">
        <v>1</v>
      </c>
      <c r="G19" s="138">
        <v>0</v>
      </c>
      <c r="H19" s="138">
        <v>0</v>
      </c>
      <c r="I19" s="138">
        <v>0</v>
      </c>
      <c r="J19" s="138">
        <v>0</v>
      </c>
      <c r="K19" s="139">
        <v>0</v>
      </c>
      <c r="L19" s="133"/>
      <c r="M19" s="133"/>
      <c r="N19" s="133"/>
      <c r="O19" s="133"/>
      <c r="P19" s="137"/>
      <c r="Q19" s="140">
        <f t="shared" si="1"/>
        <v>1</v>
      </c>
      <c r="R19" s="133"/>
      <c r="S19" s="133"/>
      <c r="T19" s="133"/>
      <c r="U19" s="133"/>
      <c r="V19" s="133"/>
      <c r="W19" s="133"/>
      <c r="X19" s="133"/>
      <c r="Y19" s="133"/>
      <c r="AB19" s="22" t="s">
        <v>82</v>
      </c>
      <c r="AC19" s="43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30"/>
      <c r="AW19" s="75">
        <v>17</v>
      </c>
      <c r="AX19" s="59">
        <v>158.64166666666699</v>
      </c>
      <c r="BA19" s="16"/>
      <c r="BB19" s="58"/>
    </row>
    <row r="20" spans="2:54" ht="16" x14ac:dyDescent="0.2">
      <c r="B20" s="137"/>
      <c r="C20" s="138">
        <v>0</v>
      </c>
      <c r="D20" s="138">
        <v>0</v>
      </c>
      <c r="E20" s="138">
        <v>0</v>
      </c>
      <c r="F20" s="138">
        <v>0</v>
      </c>
      <c r="G20" s="138">
        <v>0</v>
      </c>
      <c r="H20" s="138">
        <v>0</v>
      </c>
      <c r="I20" s="138">
        <v>0</v>
      </c>
      <c r="J20" s="138">
        <v>0</v>
      </c>
      <c r="K20" s="139">
        <v>0</v>
      </c>
      <c r="L20" s="133"/>
      <c r="M20" s="133"/>
      <c r="N20" s="133"/>
      <c r="O20" s="133"/>
      <c r="P20" s="137"/>
      <c r="Q20" s="140">
        <f t="shared" si="1"/>
        <v>0</v>
      </c>
      <c r="R20" s="133"/>
      <c r="S20" s="146" t="s">
        <v>99</v>
      </c>
      <c r="T20" s="147">
        <v>500</v>
      </c>
      <c r="U20" s="133"/>
      <c r="V20" s="133"/>
      <c r="W20" s="133"/>
      <c r="X20" s="133"/>
      <c r="Y20" s="133"/>
      <c r="AW20" s="75">
        <v>18</v>
      </c>
      <c r="AX20" s="59">
        <v>157.89166666666699</v>
      </c>
      <c r="BA20" s="16"/>
      <c r="BB20" s="58"/>
    </row>
    <row r="21" spans="2:54" ht="16" x14ac:dyDescent="0.2">
      <c r="B21" s="141"/>
      <c r="C21" s="142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v>0</v>
      </c>
      <c r="J21" s="142">
        <v>0</v>
      </c>
      <c r="K21" s="143">
        <v>0</v>
      </c>
      <c r="L21" s="133"/>
      <c r="M21" s="133"/>
      <c r="N21" s="133"/>
      <c r="O21" s="133"/>
      <c r="P21" s="141"/>
      <c r="Q21" s="144">
        <f t="shared" si="1"/>
        <v>0</v>
      </c>
      <c r="R21" s="133"/>
      <c r="S21" s="133"/>
      <c r="T21" s="133"/>
      <c r="U21" s="133"/>
      <c r="V21" s="133"/>
      <c r="W21" s="133"/>
      <c r="X21" s="133"/>
      <c r="Y21" s="133"/>
      <c r="AB21" s="2" t="s">
        <v>26</v>
      </c>
      <c r="AW21" s="75">
        <v>19</v>
      </c>
      <c r="AX21" s="59">
        <v>152.458333333333</v>
      </c>
      <c r="BA21" s="16"/>
      <c r="BB21" s="58"/>
    </row>
    <row r="22" spans="2:54" ht="16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AB22" s="2" t="s">
        <v>26</v>
      </c>
      <c r="AW22" s="75">
        <v>20</v>
      </c>
      <c r="AX22" s="59">
        <v>197</v>
      </c>
      <c r="BA22" s="16"/>
      <c r="BB22" s="58"/>
    </row>
    <row r="23" spans="2:54" ht="16" x14ac:dyDescent="0.2">
      <c r="B23" s="148" t="s">
        <v>168</v>
      </c>
      <c r="C23" s="131">
        <v>0</v>
      </c>
      <c r="D23" s="131">
        <v>0</v>
      </c>
      <c r="E23" s="131">
        <v>0</v>
      </c>
      <c r="F23" s="131">
        <v>0</v>
      </c>
      <c r="G23" s="131">
        <v>0</v>
      </c>
      <c r="H23" s="131">
        <v>0</v>
      </c>
      <c r="I23" s="131">
        <v>0</v>
      </c>
      <c r="J23" s="131">
        <v>0</v>
      </c>
      <c r="K23" s="132">
        <v>0</v>
      </c>
      <c r="L23" s="149"/>
      <c r="M23" s="149"/>
      <c r="N23" s="149"/>
      <c r="O23" s="149"/>
      <c r="P23" s="130" t="s">
        <v>174</v>
      </c>
      <c r="Q23" s="134">
        <f>SUM(C23:K23)</f>
        <v>0</v>
      </c>
      <c r="R23" s="133"/>
      <c r="S23" s="133"/>
      <c r="T23" s="133"/>
      <c r="U23" s="133"/>
      <c r="V23" s="133"/>
      <c r="W23" s="133"/>
      <c r="X23" s="133"/>
      <c r="Y23" s="133"/>
      <c r="AB23" s="2" t="s">
        <v>26</v>
      </c>
      <c r="AW23" s="75">
        <v>21</v>
      </c>
      <c r="AX23" s="59">
        <v>122.55</v>
      </c>
      <c r="BA23" s="16"/>
      <c r="BB23" s="58"/>
    </row>
    <row r="24" spans="2:54" ht="16" x14ac:dyDescent="0.2">
      <c r="B24" s="150"/>
      <c r="C24" s="138">
        <v>0</v>
      </c>
      <c r="D24" s="138">
        <v>0</v>
      </c>
      <c r="E24" s="138">
        <v>0</v>
      </c>
      <c r="F24" s="138">
        <v>1</v>
      </c>
      <c r="G24" s="138">
        <v>0</v>
      </c>
      <c r="H24" s="138">
        <v>0</v>
      </c>
      <c r="I24" s="138">
        <v>0</v>
      </c>
      <c r="J24" s="138">
        <v>0</v>
      </c>
      <c r="K24" s="139">
        <v>0</v>
      </c>
      <c r="L24" s="149"/>
      <c r="M24" s="149"/>
      <c r="N24" s="149"/>
      <c r="O24" s="149"/>
      <c r="P24" s="137"/>
      <c r="Q24" s="140">
        <f t="shared" ref="Q24:Q31" si="2">SUM(C24:K24)</f>
        <v>1</v>
      </c>
      <c r="R24" s="133"/>
      <c r="S24" s="133"/>
      <c r="T24" s="133"/>
      <c r="U24" s="133"/>
      <c r="V24" s="133"/>
      <c r="W24" s="133"/>
      <c r="X24" s="133"/>
      <c r="Y24" s="133"/>
      <c r="AB24" s="2" t="s">
        <v>26</v>
      </c>
      <c r="AW24" s="75">
        <v>22</v>
      </c>
      <c r="AX24" s="59">
        <v>122.5</v>
      </c>
      <c r="BA24" s="16"/>
      <c r="BB24" s="58"/>
    </row>
    <row r="25" spans="2:54" ht="16" x14ac:dyDescent="0.2">
      <c r="B25" s="150"/>
      <c r="C25" s="138">
        <v>0</v>
      </c>
      <c r="D25" s="138">
        <v>0</v>
      </c>
      <c r="E25" s="138">
        <v>0</v>
      </c>
      <c r="F25" s="138">
        <v>1</v>
      </c>
      <c r="G25" s="138">
        <v>0</v>
      </c>
      <c r="H25" s="138">
        <v>0</v>
      </c>
      <c r="I25" s="138">
        <v>0</v>
      </c>
      <c r="J25" s="138">
        <v>0</v>
      </c>
      <c r="K25" s="139">
        <v>0</v>
      </c>
      <c r="L25" s="149"/>
      <c r="M25" s="149"/>
      <c r="N25" s="149"/>
      <c r="O25" s="149"/>
      <c r="P25" s="137"/>
      <c r="Q25" s="140">
        <f t="shared" si="2"/>
        <v>1</v>
      </c>
      <c r="R25" s="133"/>
      <c r="S25" s="133"/>
      <c r="T25" s="133"/>
      <c r="U25" s="133"/>
      <c r="V25" s="133"/>
      <c r="W25" s="133"/>
      <c r="X25" s="133"/>
      <c r="Y25" s="133"/>
      <c r="AB25" s="2" t="s">
        <v>26</v>
      </c>
      <c r="AW25" s="75">
        <v>23</v>
      </c>
      <c r="AX25" s="59">
        <v>149.85833333333301</v>
      </c>
      <c r="BA25" s="16"/>
      <c r="BB25" s="58"/>
    </row>
    <row r="26" spans="2:54" ht="16" x14ac:dyDescent="0.2">
      <c r="B26" s="150"/>
      <c r="C26" s="138">
        <v>0</v>
      </c>
      <c r="D26" s="138">
        <v>0</v>
      </c>
      <c r="E26" s="138">
        <v>0</v>
      </c>
      <c r="F26" s="138">
        <v>0</v>
      </c>
      <c r="G26" s="138">
        <v>0</v>
      </c>
      <c r="H26" s="138">
        <v>0</v>
      </c>
      <c r="I26" s="138">
        <v>0</v>
      </c>
      <c r="J26" s="138">
        <v>0</v>
      </c>
      <c r="K26" s="139">
        <v>0</v>
      </c>
      <c r="L26" s="149"/>
      <c r="M26" s="149"/>
      <c r="N26" s="149"/>
      <c r="O26" s="149"/>
      <c r="P26" s="137"/>
      <c r="Q26" s="140">
        <f t="shared" si="2"/>
        <v>0</v>
      </c>
      <c r="R26" s="133"/>
      <c r="S26" s="133"/>
      <c r="T26" s="133"/>
      <c r="U26" s="133"/>
      <c r="V26" s="133"/>
      <c r="W26" s="133"/>
      <c r="X26" s="133"/>
      <c r="Y26" s="133"/>
      <c r="AB26" s="2" t="s">
        <v>26</v>
      </c>
      <c r="AW26" s="75">
        <v>24</v>
      </c>
      <c r="AX26" s="59">
        <v>142.52500000000001</v>
      </c>
      <c r="BA26" s="16"/>
      <c r="BB26" s="58"/>
    </row>
    <row r="27" spans="2:54" ht="16" thickBot="1" x14ac:dyDescent="0.25">
      <c r="B27" s="150"/>
      <c r="C27" s="138">
        <v>0</v>
      </c>
      <c r="D27" s="138">
        <v>0</v>
      </c>
      <c r="E27" s="138">
        <v>0</v>
      </c>
      <c r="F27" s="138">
        <v>0</v>
      </c>
      <c r="G27" s="138">
        <v>0</v>
      </c>
      <c r="H27" s="138">
        <v>0</v>
      </c>
      <c r="I27" s="138">
        <v>0</v>
      </c>
      <c r="J27" s="138">
        <v>0</v>
      </c>
      <c r="K27" s="139">
        <v>0</v>
      </c>
      <c r="L27" s="149"/>
      <c r="M27" s="149"/>
      <c r="N27" s="149"/>
      <c r="O27" s="149"/>
      <c r="P27" s="137"/>
      <c r="Q27" s="140">
        <f t="shared" si="2"/>
        <v>0</v>
      </c>
      <c r="R27" s="133"/>
      <c r="S27" s="133"/>
      <c r="T27" s="133"/>
      <c r="U27" s="133"/>
      <c r="V27" s="133"/>
      <c r="W27" s="133"/>
      <c r="X27" s="133"/>
      <c r="Y27" s="133"/>
      <c r="AW27" s="75">
        <v>25</v>
      </c>
      <c r="AX27" s="59">
        <v>152.708333333333</v>
      </c>
      <c r="BA27" s="16"/>
      <c r="BB27" s="58"/>
    </row>
    <row r="28" spans="2:54" ht="33" thickBot="1" x14ac:dyDescent="0.25">
      <c r="B28" s="150"/>
      <c r="C28" s="138">
        <v>0</v>
      </c>
      <c r="D28" s="138">
        <v>0</v>
      </c>
      <c r="E28" s="138">
        <v>0</v>
      </c>
      <c r="F28" s="138">
        <v>1</v>
      </c>
      <c r="G28" s="138">
        <v>0</v>
      </c>
      <c r="H28" s="138">
        <v>0</v>
      </c>
      <c r="I28" s="138">
        <v>0</v>
      </c>
      <c r="J28" s="138">
        <v>0</v>
      </c>
      <c r="K28" s="139">
        <v>0</v>
      </c>
      <c r="L28" s="149"/>
      <c r="M28" s="149"/>
      <c r="N28" s="149"/>
      <c r="O28" s="149"/>
      <c r="P28" s="137"/>
      <c r="Q28" s="140">
        <f t="shared" si="2"/>
        <v>1</v>
      </c>
      <c r="R28" s="133"/>
      <c r="S28" s="133"/>
      <c r="T28" s="133"/>
      <c r="U28" s="133"/>
      <c r="V28" s="133"/>
      <c r="W28" s="133"/>
      <c r="X28" s="133"/>
      <c r="Y28" s="133"/>
      <c r="AB28" s="64" t="s">
        <v>87</v>
      </c>
      <c r="AC28" s="17"/>
      <c r="AD28" s="72" t="s">
        <v>86</v>
      </c>
      <c r="AE28" s="73">
        <v>50</v>
      </c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8"/>
      <c r="AW28" s="75">
        <v>26</v>
      </c>
      <c r="AX28" s="59">
        <v>160.85</v>
      </c>
      <c r="BA28" s="16"/>
      <c r="BB28" s="58"/>
    </row>
    <row r="29" spans="2:54" ht="32" x14ac:dyDescent="0.2">
      <c r="B29" s="150"/>
      <c r="C29" s="138">
        <v>1</v>
      </c>
      <c r="D29" s="138">
        <v>0</v>
      </c>
      <c r="E29" s="138">
        <v>0</v>
      </c>
      <c r="F29" s="138">
        <v>1</v>
      </c>
      <c r="G29" s="138">
        <v>0</v>
      </c>
      <c r="H29" s="138">
        <v>0</v>
      </c>
      <c r="I29" s="138">
        <v>0</v>
      </c>
      <c r="J29" s="138">
        <v>0</v>
      </c>
      <c r="K29" s="139">
        <v>0</v>
      </c>
      <c r="L29" s="149"/>
      <c r="M29" s="149"/>
      <c r="N29" s="149"/>
      <c r="O29" s="149"/>
      <c r="P29" s="137"/>
      <c r="Q29" s="140">
        <f t="shared" si="2"/>
        <v>2</v>
      </c>
      <c r="R29" s="133"/>
      <c r="S29" s="133"/>
      <c r="T29" s="133"/>
      <c r="U29" s="133"/>
      <c r="V29" s="133"/>
      <c r="W29" s="133"/>
      <c r="X29" s="133"/>
      <c r="Y29" s="133"/>
      <c r="AB29" s="68" t="s">
        <v>27</v>
      </c>
      <c r="AC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6"/>
      <c r="AW29" s="75">
        <v>27</v>
      </c>
      <c r="AX29" s="59">
        <v>144.208333333333</v>
      </c>
      <c r="BA29" s="16"/>
      <c r="BB29" s="58"/>
    </row>
    <row r="30" spans="2:54" ht="16" x14ac:dyDescent="0.2">
      <c r="B30" s="150"/>
      <c r="C30" s="138">
        <v>1</v>
      </c>
      <c r="D30" s="138">
        <v>1</v>
      </c>
      <c r="E30" s="138">
        <v>1</v>
      </c>
      <c r="F30" s="138">
        <v>1</v>
      </c>
      <c r="G30" s="138">
        <v>1</v>
      </c>
      <c r="H30" s="138">
        <v>1</v>
      </c>
      <c r="I30" s="138">
        <v>0</v>
      </c>
      <c r="J30" s="138">
        <v>0</v>
      </c>
      <c r="K30" s="139">
        <v>0</v>
      </c>
      <c r="L30" s="149"/>
      <c r="M30" s="149"/>
      <c r="N30" s="149"/>
      <c r="O30" s="149"/>
      <c r="P30" s="137"/>
      <c r="Q30" s="140">
        <f t="shared" si="2"/>
        <v>6</v>
      </c>
      <c r="R30" s="133"/>
      <c r="S30" s="133"/>
      <c r="T30" s="133"/>
      <c r="U30" s="133"/>
      <c r="V30" s="133"/>
      <c r="W30" s="133"/>
      <c r="X30" s="133"/>
      <c r="Y30" s="133"/>
      <c r="AB30" s="65" t="s">
        <v>75</v>
      </c>
      <c r="AC30" s="3" t="s">
        <v>4</v>
      </c>
      <c r="AD30" s="4">
        <v>2</v>
      </c>
      <c r="AE30" s="4">
        <v>16</v>
      </c>
      <c r="AF30" s="4">
        <v>15</v>
      </c>
      <c r="AG30" s="4">
        <v>14</v>
      </c>
      <c r="AH30" s="4">
        <v>3</v>
      </c>
      <c r="AI30" s="4">
        <v>17</v>
      </c>
      <c r="AJ30" s="4">
        <v>13</v>
      </c>
      <c r="AK30" s="4">
        <v>1</v>
      </c>
      <c r="AL30" s="4">
        <v>12</v>
      </c>
      <c r="AM30" s="4">
        <v>11</v>
      </c>
      <c r="AN30" s="4">
        <v>4</v>
      </c>
      <c r="AO30" s="4">
        <v>5</v>
      </c>
      <c r="AP30" s="4">
        <v>10</v>
      </c>
      <c r="AQ30" s="4">
        <v>9</v>
      </c>
      <c r="AR30" s="4">
        <v>8</v>
      </c>
      <c r="AS30" s="4">
        <v>7</v>
      </c>
      <c r="AT30" s="46">
        <v>6</v>
      </c>
      <c r="AW30" s="75">
        <v>28</v>
      </c>
      <c r="AX30" s="59">
        <v>146.28333333333299</v>
      </c>
      <c r="BA30" s="16"/>
      <c r="BB30" s="58"/>
    </row>
    <row r="31" spans="2:54" ht="16" x14ac:dyDescent="0.2">
      <c r="B31" s="151"/>
      <c r="C31" s="142">
        <v>0</v>
      </c>
      <c r="D31" s="142">
        <v>0</v>
      </c>
      <c r="E31" s="142">
        <v>0</v>
      </c>
      <c r="F31" s="142">
        <v>0</v>
      </c>
      <c r="G31" s="142">
        <v>0</v>
      </c>
      <c r="H31" s="142">
        <v>0</v>
      </c>
      <c r="I31" s="142">
        <v>0</v>
      </c>
      <c r="J31" s="142">
        <v>0</v>
      </c>
      <c r="K31" s="143">
        <v>0</v>
      </c>
      <c r="L31" s="149"/>
      <c r="M31" s="149"/>
      <c r="N31" s="149"/>
      <c r="O31" s="149"/>
      <c r="P31" s="141"/>
      <c r="Q31" s="144">
        <f t="shared" si="2"/>
        <v>0</v>
      </c>
      <c r="R31" s="133"/>
      <c r="S31" s="133"/>
      <c r="T31" s="133"/>
      <c r="U31" s="133"/>
      <c r="V31" s="133"/>
      <c r="W31" s="133"/>
      <c r="X31" s="133"/>
      <c r="Y31" s="133"/>
      <c r="AB31" s="66" t="s">
        <v>76</v>
      </c>
      <c r="AC31" s="31" t="s">
        <v>5</v>
      </c>
      <c r="AD31" s="11">
        <v>2</v>
      </c>
      <c r="AE31" s="11">
        <v>1</v>
      </c>
      <c r="AF31" s="11">
        <v>1</v>
      </c>
      <c r="AG31" s="11">
        <v>1</v>
      </c>
      <c r="AH31" s="11">
        <v>2</v>
      </c>
      <c r="AI31" s="11">
        <v>1</v>
      </c>
      <c r="AJ31" s="11">
        <v>1</v>
      </c>
      <c r="AK31" s="11">
        <v>2</v>
      </c>
      <c r="AL31" s="11">
        <v>1</v>
      </c>
      <c r="AM31" s="11">
        <v>1</v>
      </c>
      <c r="AN31" s="11">
        <v>2</v>
      </c>
      <c r="AO31" s="11">
        <v>2</v>
      </c>
      <c r="AP31" s="11">
        <v>1</v>
      </c>
      <c r="AQ31" s="11">
        <v>1</v>
      </c>
      <c r="AR31" s="11">
        <v>1</v>
      </c>
      <c r="AS31" s="11">
        <v>1</v>
      </c>
      <c r="AT31" s="48">
        <v>1</v>
      </c>
      <c r="AW31" s="75">
        <v>29</v>
      </c>
      <c r="AX31" s="59">
        <v>136.84166666666701</v>
      </c>
      <c r="BA31" s="16"/>
      <c r="BB31" s="58"/>
    </row>
    <row r="32" spans="2:54" x14ac:dyDescent="0.2"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AB32" s="67"/>
      <c r="AT32" s="19"/>
      <c r="AW32" s="75">
        <v>30</v>
      </c>
      <c r="AX32" s="59">
        <v>120.466666666667</v>
      </c>
      <c r="BA32" s="16"/>
      <c r="BB32" s="58"/>
    </row>
    <row r="33" spans="2:54" ht="16" x14ac:dyDescent="0.2">
      <c r="B33" s="148" t="s">
        <v>169</v>
      </c>
      <c r="C33" s="131">
        <v>0</v>
      </c>
      <c r="D33" s="131">
        <v>0</v>
      </c>
      <c r="E33" s="131">
        <v>0</v>
      </c>
      <c r="F33" s="131">
        <v>0</v>
      </c>
      <c r="G33" s="131">
        <v>0</v>
      </c>
      <c r="H33" s="131">
        <v>0</v>
      </c>
      <c r="I33" s="131">
        <v>0</v>
      </c>
      <c r="J33" s="131">
        <v>0</v>
      </c>
      <c r="K33" s="132">
        <v>0</v>
      </c>
      <c r="L33" s="149"/>
      <c r="M33" s="149"/>
      <c r="N33" s="149"/>
      <c r="O33" s="149"/>
      <c r="P33" s="130" t="s">
        <v>175</v>
      </c>
      <c r="Q33" s="134">
        <f>SUM(C33:K33)</f>
        <v>0</v>
      </c>
      <c r="R33" s="133"/>
      <c r="S33" s="133"/>
      <c r="T33" s="133"/>
      <c r="U33" s="133"/>
      <c r="V33" s="133"/>
      <c r="W33" s="133"/>
      <c r="X33" s="133"/>
      <c r="Y33" s="133"/>
      <c r="AB33" s="67"/>
      <c r="AT33" s="19"/>
      <c r="AW33" s="75">
        <v>31</v>
      </c>
      <c r="AX33" s="59">
        <v>163.28333333333299</v>
      </c>
      <c r="BA33" s="16"/>
      <c r="BB33" s="58"/>
    </row>
    <row r="34" spans="2:54" ht="32" x14ac:dyDescent="0.2">
      <c r="B34" s="150"/>
      <c r="C34" s="138">
        <v>0</v>
      </c>
      <c r="D34" s="138">
        <v>0</v>
      </c>
      <c r="E34" s="138">
        <v>0</v>
      </c>
      <c r="F34" s="138">
        <v>0</v>
      </c>
      <c r="G34" s="138">
        <v>0</v>
      </c>
      <c r="H34" s="138">
        <v>0</v>
      </c>
      <c r="I34" s="138">
        <v>0</v>
      </c>
      <c r="J34" s="138">
        <v>1</v>
      </c>
      <c r="K34" s="139">
        <v>0</v>
      </c>
      <c r="L34" s="149"/>
      <c r="M34" s="149"/>
      <c r="N34" s="149"/>
      <c r="O34" s="149"/>
      <c r="P34" s="137"/>
      <c r="Q34" s="140">
        <f t="shared" ref="Q34:Q41" si="3">SUM(C34:K34)</f>
        <v>1</v>
      </c>
      <c r="R34" s="133"/>
      <c r="S34" s="133"/>
      <c r="T34" s="133"/>
      <c r="U34" s="133"/>
      <c r="V34" s="133"/>
      <c r="W34" s="133"/>
      <c r="X34" s="133"/>
      <c r="Y34" s="133"/>
      <c r="AB34" s="68" t="s">
        <v>30</v>
      </c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6"/>
      <c r="AW34" s="75">
        <v>32</v>
      </c>
      <c r="AX34" s="59">
        <v>161.17500000000001</v>
      </c>
      <c r="BA34" s="16"/>
      <c r="BB34" s="58"/>
    </row>
    <row r="35" spans="2:54" ht="16" x14ac:dyDescent="0.2">
      <c r="B35" s="150"/>
      <c r="C35" s="138">
        <v>0</v>
      </c>
      <c r="D35" s="138">
        <v>1</v>
      </c>
      <c r="E35" s="138">
        <v>0</v>
      </c>
      <c r="F35" s="138">
        <v>0</v>
      </c>
      <c r="G35" s="138">
        <v>0</v>
      </c>
      <c r="H35" s="138">
        <v>0</v>
      </c>
      <c r="I35" s="138">
        <v>1</v>
      </c>
      <c r="J35" s="138">
        <v>0</v>
      </c>
      <c r="K35" s="139">
        <v>0</v>
      </c>
      <c r="L35" s="149"/>
      <c r="M35" s="149"/>
      <c r="N35" s="149"/>
      <c r="O35" s="149"/>
      <c r="P35" s="137"/>
      <c r="Q35" s="140">
        <f t="shared" si="3"/>
        <v>2</v>
      </c>
      <c r="R35" s="133"/>
      <c r="S35" s="133"/>
      <c r="T35" s="133"/>
      <c r="U35" s="133"/>
      <c r="V35" s="133"/>
      <c r="W35" s="133"/>
      <c r="X35" s="133"/>
      <c r="Y35" s="133"/>
      <c r="AB35" s="69" t="s">
        <v>77</v>
      </c>
      <c r="AC35" s="6" t="s">
        <v>32</v>
      </c>
      <c r="AD35" s="13">
        <v>1</v>
      </c>
      <c r="AE35" s="13">
        <v>2</v>
      </c>
      <c r="AF35" s="13">
        <v>2</v>
      </c>
      <c r="AG35" s="13">
        <v>2</v>
      </c>
      <c r="AH35" s="13">
        <v>1</v>
      </c>
      <c r="AI35" s="13">
        <v>2</v>
      </c>
      <c r="AJ35" s="13">
        <v>4</v>
      </c>
      <c r="AK35" s="13">
        <v>1</v>
      </c>
      <c r="AL35" s="13">
        <v>3</v>
      </c>
      <c r="AM35" s="13">
        <v>4</v>
      </c>
      <c r="AN35" s="13">
        <v>3</v>
      </c>
      <c r="AO35" s="13">
        <v>3</v>
      </c>
      <c r="AP35" s="13">
        <v>4</v>
      </c>
      <c r="AQ35" s="13">
        <v>3</v>
      </c>
      <c r="AR35" s="13">
        <v>4</v>
      </c>
      <c r="AS35" s="13">
        <v>3</v>
      </c>
      <c r="AT35" s="21">
        <v>4</v>
      </c>
      <c r="AW35" s="75">
        <v>33</v>
      </c>
      <c r="AX35" s="59">
        <v>155.6</v>
      </c>
      <c r="BA35" s="16"/>
      <c r="BB35" s="58"/>
    </row>
    <row r="36" spans="2:54" x14ac:dyDescent="0.2">
      <c r="B36" s="150"/>
      <c r="C36" s="138">
        <v>0</v>
      </c>
      <c r="D36" s="138">
        <v>0</v>
      </c>
      <c r="E36" s="138">
        <v>0</v>
      </c>
      <c r="F36" s="138">
        <v>0</v>
      </c>
      <c r="G36" s="138">
        <v>1</v>
      </c>
      <c r="H36" s="138">
        <v>0</v>
      </c>
      <c r="I36" s="138">
        <v>0</v>
      </c>
      <c r="J36" s="138">
        <v>0</v>
      </c>
      <c r="K36" s="139">
        <v>0</v>
      </c>
      <c r="L36" s="149"/>
      <c r="M36" s="149"/>
      <c r="N36" s="149"/>
      <c r="O36" s="149"/>
      <c r="P36" s="137"/>
      <c r="Q36" s="140">
        <f t="shared" si="3"/>
        <v>1</v>
      </c>
      <c r="R36" s="133"/>
      <c r="S36" s="133"/>
      <c r="T36" s="133"/>
      <c r="U36" s="133"/>
      <c r="V36" s="133"/>
      <c r="W36" s="133"/>
      <c r="X36" s="133"/>
      <c r="Y36" s="133"/>
      <c r="AB36" s="20"/>
      <c r="AT36" s="19"/>
      <c r="AW36" s="75">
        <v>34</v>
      </c>
      <c r="AX36" s="59">
        <v>179.67500000000001</v>
      </c>
      <c r="BA36" s="16"/>
      <c r="BB36" s="58"/>
    </row>
    <row r="37" spans="2:54" x14ac:dyDescent="0.2">
      <c r="B37" s="150"/>
      <c r="C37" s="138">
        <v>0</v>
      </c>
      <c r="D37" s="138">
        <v>0</v>
      </c>
      <c r="E37" s="138">
        <v>0</v>
      </c>
      <c r="F37" s="138">
        <v>0</v>
      </c>
      <c r="G37" s="138">
        <v>0</v>
      </c>
      <c r="H37" s="138">
        <v>0</v>
      </c>
      <c r="I37" s="138">
        <v>0</v>
      </c>
      <c r="J37" s="138">
        <v>0</v>
      </c>
      <c r="K37" s="139">
        <v>0</v>
      </c>
      <c r="L37" s="149"/>
      <c r="M37" s="149"/>
      <c r="N37" s="149"/>
      <c r="O37" s="149"/>
      <c r="P37" s="137"/>
      <c r="Q37" s="140">
        <f t="shared" si="3"/>
        <v>0</v>
      </c>
      <c r="R37" s="133"/>
      <c r="S37" s="133"/>
      <c r="T37" s="133"/>
      <c r="U37" s="133"/>
      <c r="V37" s="133"/>
      <c r="W37" s="133"/>
      <c r="X37" s="133"/>
      <c r="Y37" s="133"/>
      <c r="AB37" s="20"/>
      <c r="AT37" s="19"/>
      <c r="AW37" s="75">
        <v>35</v>
      </c>
      <c r="AX37" s="59">
        <v>200.416666666667</v>
      </c>
      <c r="BA37" s="16"/>
      <c r="BB37" s="58"/>
    </row>
    <row r="38" spans="2:54" ht="16" x14ac:dyDescent="0.2">
      <c r="B38" s="150"/>
      <c r="C38" s="138">
        <v>0</v>
      </c>
      <c r="D38" s="138">
        <v>0</v>
      </c>
      <c r="E38" s="138">
        <v>0</v>
      </c>
      <c r="F38" s="138">
        <v>0</v>
      </c>
      <c r="G38" s="138">
        <v>0</v>
      </c>
      <c r="H38" s="138">
        <v>0</v>
      </c>
      <c r="I38" s="138">
        <v>0</v>
      </c>
      <c r="J38" s="138">
        <v>1</v>
      </c>
      <c r="K38" s="139">
        <v>0</v>
      </c>
      <c r="L38" s="149"/>
      <c r="M38" s="149"/>
      <c r="N38" s="149"/>
      <c r="O38" s="149"/>
      <c r="P38" s="137"/>
      <c r="Q38" s="140">
        <f t="shared" si="3"/>
        <v>1</v>
      </c>
      <c r="R38" s="133"/>
      <c r="S38" s="133"/>
      <c r="T38" s="133"/>
      <c r="U38" s="133"/>
      <c r="V38" s="133"/>
      <c r="W38" s="133"/>
      <c r="X38" s="133"/>
      <c r="Y38" s="133"/>
      <c r="AB38" s="70" t="s">
        <v>73</v>
      </c>
      <c r="AC38" s="4"/>
      <c r="AD38" s="5"/>
      <c r="AT38" s="19"/>
      <c r="AW38" s="75">
        <v>36</v>
      </c>
      <c r="AX38" s="59">
        <v>174.98333333333301</v>
      </c>
      <c r="BA38" s="16"/>
      <c r="BB38" s="58"/>
    </row>
    <row r="39" spans="2:54" ht="16" x14ac:dyDescent="0.2">
      <c r="B39" s="150"/>
      <c r="C39" s="138">
        <v>1</v>
      </c>
      <c r="D39" s="138">
        <v>0</v>
      </c>
      <c r="E39" s="138">
        <v>0</v>
      </c>
      <c r="F39" s="138">
        <v>0</v>
      </c>
      <c r="G39" s="138">
        <v>0</v>
      </c>
      <c r="H39" s="138">
        <v>0</v>
      </c>
      <c r="I39" s="138">
        <v>0</v>
      </c>
      <c r="J39" s="138">
        <v>1</v>
      </c>
      <c r="K39" s="139">
        <v>0</v>
      </c>
      <c r="L39" s="149"/>
      <c r="M39" s="149"/>
      <c r="N39" s="149"/>
      <c r="O39" s="149"/>
      <c r="P39" s="137"/>
      <c r="Q39" s="140">
        <f t="shared" si="3"/>
        <v>2</v>
      </c>
      <c r="R39" s="133"/>
      <c r="S39" s="133"/>
      <c r="T39" s="133"/>
      <c r="U39" s="133"/>
      <c r="V39" s="133"/>
      <c r="W39" s="133"/>
      <c r="X39" s="133"/>
      <c r="Y39" s="133"/>
      <c r="AB39" s="71" t="s">
        <v>78</v>
      </c>
      <c r="AC39" s="16" t="s">
        <v>71</v>
      </c>
      <c r="AD39" s="9">
        <v>7</v>
      </c>
      <c r="AT39" s="19"/>
      <c r="AW39" s="75">
        <v>37</v>
      </c>
      <c r="AX39" s="59">
        <v>137.558333333333</v>
      </c>
      <c r="BA39" s="16"/>
      <c r="BB39" s="58"/>
    </row>
    <row r="40" spans="2:54" ht="16" x14ac:dyDescent="0.2">
      <c r="B40" s="150"/>
      <c r="C40" s="138">
        <v>0</v>
      </c>
      <c r="D40" s="138">
        <v>0</v>
      </c>
      <c r="E40" s="138">
        <v>0</v>
      </c>
      <c r="F40" s="138">
        <v>0</v>
      </c>
      <c r="G40" s="138">
        <v>0</v>
      </c>
      <c r="H40" s="138">
        <v>0</v>
      </c>
      <c r="I40" s="138">
        <v>0</v>
      </c>
      <c r="J40" s="138">
        <v>0</v>
      </c>
      <c r="K40" s="139">
        <v>0</v>
      </c>
      <c r="L40" s="149"/>
      <c r="M40" s="149"/>
      <c r="N40" s="149"/>
      <c r="O40" s="149"/>
      <c r="P40" s="137"/>
      <c r="Q40" s="140">
        <f t="shared" si="3"/>
        <v>0</v>
      </c>
      <c r="R40" s="133"/>
      <c r="S40" s="133"/>
      <c r="T40" s="133"/>
      <c r="U40" s="133"/>
      <c r="V40" s="133"/>
      <c r="W40" s="133"/>
      <c r="X40" s="133"/>
      <c r="Y40" s="133"/>
      <c r="AB40" s="71" t="s">
        <v>79</v>
      </c>
      <c r="AC40" s="16" t="s">
        <v>72</v>
      </c>
      <c r="AD40" s="9">
        <v>16</v>
      </c>
      <c r="AT40" s="19"/>
      <c r="AW40" s="75">
        <v>38</v>
      </c>
      <c r="AX40" s="59">
        <v>138.25</v>
      </c>
      <c r="BA40" s="16"/>
      <c r="BB40" s="58"/>
    </row>
    <row r="41" spans="2:54" ht="16" x14ac:dyDescent="0.2">
      <c r="B41" s="151"/>
      <c r="C41" s="142">
        <v>0</v>
      </c>
      <c r="D41" s="142">
        <v>0</v>
      </c>
      <c r="E41" s="142">
        <v>0</v>
      </c>
      <c r="F41" s="142">
        <v>1</v>
      </c>
      <c r="G41" s="142">
        <v>1</v>
      </c>
      <c r="H41" s="142">
        <v>0</v>
      </c>
      <c r="I41" s="142">
        <v>0</v>
      </c>
      <c r="J41" s="142">
        <v>0</v>
      </c>
      <c r="K41" s="143">
        <v>0</v>
      </c>
      <c r="L41" s="149"/>
      <c r="M41" s="149"/>
      <c r="N41" s="149"/>
      <c r="O41" s="149"/>
      <c r="P41" s="141"/>
      <c r="Q41" s="144">
        <f t="shared" si="3"/>
        <v>2</v>
      </c>
      <c r="R41" s="133"/>
      <c r="S41" s="133"/>
      <c r="T41" s="133"/>
      <c r="U41" s="133"/>
      <c r="V41" s="133"/>
      <c r="W41" s="133"/>
      <c r="X41" s="133"/>
      <c r="Y41" s="133"/>
      <c r="AB41" s="66" t="s">
        <v>80</v>
      </c>
      <c r="AC41" s="63" t="s">
        <v>34</v>
      </c>
      <c r="AD41" s="62">
        <v>1354.5</v>
      </c>
      <c r="AE41" s="74"/>
      <c r="AT41" s="19"/>
      <c r="AW41" s="75">
        <v>39</v>
      </c>
      <c r="AX41" s="59">
        <v>123.85</v>
      </c>
      <c r="BA41" s="16"/>
      <c r="BB41" s="58"/>
    </row>
    <row r="42" spans="2:54" x14ac:dyDescent="0.2"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AB42" s="20"/>
      <c r="AT42" s="19"/>
      <c r="AW42" s="75">
        <v>40</v>
      </c>
      <c r="AX42" s="59">
        <v>172.47499999999999</v>
      </c>
      <c r="BA42" s="16"/>
      <c r="BB42" s="58"/>
    </row>
    <row r="43" spans="2:54" ht="16" x14ac:dyDescent="0.2">
      <c r="B43" s="148" t="s">
        <v>170</v>
      </c>
      <c r="C43" s="131">
        <v>0</v>
      </c>
      <c r="D43" s="131">
        <v>0</v>
      </c>
      <c r="E43" s="131">
        <v>0</v>
      </c>
      <c r="F43" s="131">
        <v>1</v>
      </c>
      <c r="G43" s="131">
        <v>0</v>
      </c>
      <c r="H43" s="131">
        <v>0</v>
      </c>
      <c r="I43" s="131">
        <v>1</v>
      </c>
      <c r="J43" s="131">
        <v>1</v>
      </c>
      <c r="K43" s="132">
        <v>0</v>
      </c>
      <c r="L43" s="149"/>
      <c r="M43" s="149"/>
      <c r="N43" s="149"/>
      <c r="O43" s="149"/>
      <c r="P43" s="130" t="s">
        <v>176</v>
      </c>
      <c r="Q43" s="134">
        <f>SUM(C43:K43)</f>
        <v>3</v>
      </c>
      <c r="R43" s="133"/>
      <c r="S43" s="133"/>
      <c r="T43" s="133"/>
      <c r="U43" s="133"/>
      <c r="V43" s="133"/>
      <c r="W43" s="133"/>
      <c r="X43" s="133"/>
      <c r="Y43" s="133"/>
      <c r="AB43" s="20"/>
      <c r="AT43" s="19"/>
      <c r="AW43" s="75">
        <v>41</v>
      </c>
      <c r="AX43" s="59">
        <v>168.24166666666699</v>
      </c>
      <c r="BA43" s="16"/>
      <c r="BB43" s="58"/>
    </row>
    <row r="44" spans="2:54" ht="16" x14ac:dyDescent="0.2">
      <c r="B44" s="150"/>
      <c r="C44" s="138">
        <v>0</v>
      </c>
      <c r="D44" s="138">
        <v>0</v>
      </c>
      <c r="E44" s="138">
        <v>1</v>
      </c>
      <c r="F44" s="138">
        <v>0</v>
      </c>
      <c r="G44" s="138">
        <v>0</v>
      </c>
      <c r="H44" s="138">
        <v>0</v>
      </c>
      <c r="I44" s="138">
        <v>0</v>
      </c>
      <c r="J44" s="138">
        <v>0</v>
      </c>
      <c r="K44" s="139">
        <v>0</v>
      </c>
      <c r="L44" s="149"/>
      <c r="M44" s="149"/>
      <c r="N44" s="149"/>
      <c r="O44" s="149"/>
      <c r="P44" s="137"/>
      <c r="Q44" s="140">
        <f t="shared" ref="Q44:Q51" si="4">SUM(C44:K44)</f>
        <v>1</v>
      </c>
      <c r="R44" s="133"/>
      <c r="S44" s="133"/>
      <c r="T44" s="133"/>
      <c r="U44" s="133"/>
      <c r="V44" s="133"/>
      <c r="W44" s="133"/>
      <c r="X44" s="133"/>
      <c r="Y44" s="133"/>
      <c r="AB44" s="65" t="s">
        <v>81</v>
      </c>
      <c r="AC44" s="5">
        <f>AD41/T14+AD40+AD39*T16</f>
        <v>142.875</v>
      </c>
      <c r="AT44" s="19"/>
      <c r="AW44" s="75">
        <v>42</v>
      </c>
      <c r="AX44" s="59">
        <v>104.35833333333299</v>
      </c>
      <c r="BA44" s="16"/>
      <c r="BB44" s="58"/>
    </row>
    <row r="45" spans="2:54" ht="65" thickBot="1" x14ac:dyDescent="0.25">
      <c r="B45" s="150"/>
      <c r="C45" s="138">
        <v>0</v>
      </c>
      <c r="D45" s="138">
        <v>0</v>
      </c>
      <c r="E45" s="138">
        <v>0</v>
      </c>
      <c r="F45" s="138">
        <v>1</v>
      </c>
      <c r="G45" s="138">
        <v>0</v>
      </c>
      <c r="H45" s="138">
        <v>0</v>
      </c>
      <c r="I45" s="138">
        <v>0</v>
      </c>
      <c r="J45" s="138">
        <v>0</v>
      </c>
      <c r="K45" s="139">
        <v>0</v>
      </c>
      <c r="L45" s="149"/>
      <c r="M45" s="149"/>
      <c r="N45" s="149"/>
      <c r="O45" s="149"/>
      <c r="P45" s="137"/>
      <c r="Q45" s="140">
        <f t="shared" si="4"/>
        <v>1</v>
      </c>
      <c r="R45" s="133"/>
      <c r="S45" s="133"/>
      <c r="T45" s="133"/>
      <c r="U45" s="133"/>
      <c r="V45" s="133"/>
      <c r="W45" s="133"/>
      <c r="X45" s="133"/>
      <c r="Y45" s="133"/>
      <c r="AB45" s="22" t="s">
        <v>82</v>
      </c>
      <c r="AC45" s="43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30"/>
      <c r="AW45" s="75">
        <v>43</v>
      </c>
      <c r="AX45" s="59">
        <v>158.71666666666701</v>
      </c>
      <c r="BA45" s="16"/>
      <c r="BB45" s="58"/>
    </row>
    <row r="46" spans="2:54" x14ac:dyDescent="0.2">
      <c r="B46" s="150"/>
      <c r="C46" s="138">
        <v>0</v>
      </c>
      <c r="D46" s="138">
        <v>0</v>
      </c>
      <c r="E46" s="138">
        <v>0</v>
      </c>
      <c r="F46" s="138">
        <v>0</v>
      </c>
      <c r="G46" s="138">
        <v>0</v>
      </c>
      <c r="H46" s="138">
        <v>0</v>
      </c>
      <c r="I46" s="138">
        <v>0</v>
      </c>
      <c r="J46" s="138">
        <v>0</v>
      </c>
      <c r="K46" s="139">
        <v>0</v>
      </c>
      <c r="L46" s="149"/>
      <c r="M46" s="149"/>
      <c r="N46" s="149"/>
      <c r="O46" s="149"/>
      <c r="P46" s="137"/>
      <c r="Q46" s="140">
        <f t="shared" si="4"/>
        <v>0</v>
      </c>
      <c r="R46" s="133"/>
      <c r="S46" s="133"/>
      <c r="T46" s="133"/>
      <c r="U46" s="133"/>
      <c r="V46" s="133"/>
      <c r="W46" s="133"/>
      <c r="X46" s="133"/>
      <c r="Y46" s="133"/>
      <c r="AW46" s="75">
        <v>44</v>
      </c>
      <c r="AX46" s="59">
        <v>158.333333333333</v>
      </c>
      <c r="BA46" s="16"/>
      <c r="BB46" s="58"/>
    </row>
    <row r="47" spans="2:54" x14ac:dyDescent="0.2">
      <c r="B47" s="150"/>
      <c r="C47" s="138">
        <v>0</v>
      </c>
      <c r="D47" s="138">
        <v>0</v>
      </c>
      <c r="E47" s="138">
        <v>0</v>
      </c>
      <c r="F47" s="138">
        <v>0</v>
      </c>
      <c r="G47" s="138">
        <v>0</v>
      </c>
      <c r="H47" s="138">
        <v>0</v>
      </c>
      <c r="I47" s="138">
        <v>0</v>
      </c>
      <c r="J47" s="138">
        <v>0</v>
      </c>
      <c r="K47" s="139">
        <v>0</v>
      </c>
      <c r="L47" s="149"/>
      <c r="M47" s="149"/>
      <c r="N47" s="149"/>
      <c r="O47" s="149"/>
      <c r="P47" s="137"/>
      <c r="Q47" s="140">
        <f t="shared" si="4"/>
        <v>0</v>
      </c>
      <c r="R47" s="133"/>
      <c r="S47" s="133"/>
      <c r="T47" s="133"/>
      <c r="U47" s="133"/>
      <c r="V47" s="133"/>
      <c r="W47" s="133"/>
      <c r="X47" s="133"/>
      <c r="Y47" s="133"/>
      <c r="AW47" s="75">
        <v>45</v>
      </c>
      <c r="AX47" s="59">
        <v>149.59166666666701</v>
      </c>
      <c r="BA47" s="16"/>
      <c r="BB47" s="58"/>
    </row>
    <row r="48" spans="2:54" x14ac:dyDescent="0.2">
      <c r="B48" s="150"/>
      <c r="C48" s="138">
        <v>0</v>
      </c>
      <c r="D48" s="138">
        <v>0</v>
      </c>
      <c r="E48" s="138">
        <v>0</v>
      </c>
      <c r="F48" s="138">
        <v>1</v>
      </c>
      <c r="G48" s="138">
        <v>0</v>
      </c>
      <c r="H48" s="138">
        <v>0</v>
      </c>
      <c r="I48" s="138">
        <v>0</v>
      </c>
      <c r="J48" s="138">
        <v>0</v>
      </c>
      <c r="K48" s="139">
        <v>0</v>
      </c>
      <c r="L48" s="149"/>
      <c r="M48" s="149"/>
      <c r="N48" s="149"/>
      <c r="O48" s="149"/>
      <c r="P48" s="137"/>
      <c r="Q48" s="140">
        <f t="shared" si="4"/>
        <v>1</v>
      </c>
      <c r="R48" s="133"/>
      <c r="S48" s="133"/>
      <c r="T48" s="133"/>
      <c r="U48" s="133"/>
      <c r="V48" s="133"/>
      <c r="W48" s="133"/>
      <c r="X48" s="133"/>
      <c r="Y48" s="133"/>
      <c r="AW48" s="75">
        <v>46</v>
      </c>
      <c r="AX48" s="59">
        <v>146.691666666667</v>
      </c>
      <c r="BA48" s="16"/>
      <c r="BB48" s="58"/>
    </row>
    <row r="49" spans="2:54" x14ac:dyDescent="0.2">
      <c r="B49" s="150"/>
      <c r="C49" s="138">
        <v>0</v>
      </c>
      <c r="D49" s="138">
        <v>0</v>
      </c>
      <c r="E49" s="138">
        <v>0</v>
      </c>
      <c r="F49" s="138">
        <v>1</v>
      </c>
      <c r="G49" s="138">
        <v>0</v>
      </c>
      <c r="H49" s="138">
        <v>0</v>
      </c>
      <c r="I49" s="138">
        <v>0</v>
      </c>
      <c r="J49" s="138">
        <v>0</v>
      </c>
      <c r="K49" s="139">
        <v>0</v>
      </c>
      <c r="L49" s="149"/>
      <c r="M49" s="149"/>
      <c r="N49" s="149"/>
      <c r="O49" s="149"/>
      <c r="P49" s="137"/>
      <c r="Q49" s="140">
        <f t="shared" si="4"/>
        <v>1</v>
      </c>
      <c r="R49" s="133"/>
      <c r="S49" s="133"/>
      <c r="T49" s="133"/>
      <c r="U49" s="133"/>
      <c r="V49" s="133"/>
      <c r="W49" s="133"/>
      <c r="X49" s="133"/>
      <c r="Y49" s="133"/>
      <c r="AW49" s="75">
        <v>47</v>
      </c>
      <c r="AX49" s="59">
        <v>141.11666666666699</v>
      </c>
      <c r="BA49" s="16"/>
      <c r="BB49" s="58"/>
    </row>
    <row r="50" spans="2:54" x14ac:dyDescent="0.2">
      <c r="B50" s="150"/>
      <c r="C50" s="138">
        <v>0</v>
      </c>
      <c r="D50" s="138">
        <v>0</v>
      </c>
      <c r="E50" s="138">
        <v>0</v>
      </c>
      <c r="F50" s="138">
        <v>0</v>
      </c>
      <c r="G50" s="138">
        <v>0</v>
      </c>
      <c r="H50" s="138">
        <v>0</v>
      </c>
      <c r="I50" s="138">
        <v>0</v>
      </c>
      <c r="J50" s="138">
        <v>0</v>
      </c>
      <c r="K50" s="139">
        <v>0</v>
      </c>
      <c r="L50" s="133"/>
      <c r="M50" s="133"/>
      <c r="N50" s="133"/>
      <c r="O50" s="133"/>
      <c r="P50" s="137"/>
      <c r="Q50" s="140">
        <f t="shared" si="4"/>
        <v>0</v>
      </c>
      <c r="R50" s="133"/>
      <c r="S50" s="133"/>
      <c r="T50" s="133"/>
      <c r="U50" s="133"/>
      <c r="V50" s="133"/>
      <c r="W50" s="133"/>
      <c r="X50" s="133"/>
      <c r="Y50" s="133"/>
      <c r="AW50" s="75">
        <v>48</v>
      </c>
      <c r="AX50" s="59">
        <v>156.42500000000001</v>
      </c>
      <c r="BA50" s="16"/>
      <c r="BB50" s="58"/>
    </row>
    <row r="51" spans="2:54" x14ac:dyDescent="0.2">
      <c r="B51" s="151"/>
      <c r="C51" s="142">
        <v>0</v>
      </c>
      <c r="D51" s="142">
        <v>0</v>
      </c>
      <c r="E51" s="142">
        <v>0</v>
      </c>
      <c r="F51" s="142">
        <v>1</v>
      </c>
      <c r="G51" s="142">
        <v>0</v>
      </c>
      <c r="H51" s="142">
        <v>0</v>
      </c>
      <c r="I51" s="142">
        <v>0</v>
      </c>
      <c r="J51" s="142">
        <v>0</v>
      </c>
      <c r="K51" s="143">
        <v>0</v>
      </c>
      <c r="L51" s="133"/>
      <c r="M51" s="133"/>
      <c r="N51" s="133"/>
      <c r="O51" s="133"/>
      <c r="P51" s="141"/>
      <c r="Q51" s="144">
        <f t="shared" si="4"/>
        <v>1</v>
      </c>
      <c r="R51" s="133"/>
      <c r="S51" s="133"/>
      <c r="T51" s="133"/>
      <c r="U51" s="133"/>
      <c r="V51" s="133"/>
      <c r="W51" s="133"/>
      <c r="X51" s="133"/>
      <c r="Y51" s="133"/>
      <c r="AW51" s="75">
        <v>49</v>
      </c>
      <c r="AX51" s="59">
        <v>155.25833333333301</v>
      </c>
      <c r="BA51" s="16"/>
      <c r="BB51" s="58"/>
    </row>
    <row r="52" spans="2:54" x14ac:dyDescent="0.2"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AW52" s="31">
        <v>50</v>
      </c>
      <c r="AX52" s="62">
        <v>133.25</v>
      </c>
      <c r="BA52" s="16"/>
      <c r="BB52" s="58"/>
    </row>
    <row r="53" spans="2:54" ht="16" x14ac:dyDescent="0.2">
      <c r="B53" s="148" t="s">
        <v>171</v>
      </c>
      <c r="C53" s="131">
        <v>0</v>
      </c>
      <c r="D53" s="131">
        <v>0</v>
      </c>
      <c r="E53" s="131">
        <v>0</v>
      </c>
      <c r="F53" s="131">
        <v>1</v>
      </c>
      <c r="G53" s="131">
        <v>0</v>
      </c>
      <c r="H53" s="131">
        <v>0</v>
      </c>
      <c r="I53" s="131">
        <v>1</v>
      </c>
      <c r="J53" s="131">
        <v>1</v>
      </c>
      <c r="K53" s="132">
        <v>0</v>
      </c>
      <c r="L53" s="133"/>
      <c r="M53" s="133"/>
      <c r="N53" s="133"/>
      <c r="O53" s="133"/>
      <c r="P53" s="130" t="s">
        <v>177</v>
      </c>
      <c r="Q53" s="134">
        <f>SUM(C53:K53)</f>
        <v>3</v>
      </c>
      <c r="R53" s="133"/>
      <c r="S53" s="133"/>
      <c r="T53" s="133"/>
      <c r="U53" s="133"/>
      <c r="V53" s="133"/>
      <c r="W53" s="133"/>
      <c r="X53" s="133"/>
      <c r="Y53" s="133"/>
    </row>
    <row r="54" spans="2:54" x14ac:dyDescent="0.2">
      <c r="B54" s="150"/>
      <c r="C54" s="138">
        <v>0</v>
      </c>
      <c r="D54" s="138">
        <v>0</v>
      </c>
      <c r="E54" s="138">
        <v>1</v>
      </c>
      <c r="F54" s="138">
        <v>1</v>
      </c>
      <c r="G54" s="138">
        <v>0</v>
      </c>
      <c r="H54" s="138">
        <v>0</v>
      </c>
      <c r="I54" s="138">
        <v>1</v>
      </c>
      <c r="J54" s="138">
        <v>0</v>
      </c>
      <c r="K54" s="139">
        <v>0</v>
      </c>
      <c r="L54" s="133"/>
      <c r="M54" s="133"/>
      <c r="N54" s="133"/>
      <c r="O54" s="133"/>
      <c r="P54" s="137"/>
      <c r="Q54" s="140">
        <f t="shared" ref="Q54:Q61" si="5">SUM(C54:K54)</f>
        <v>3</v>
      </c>
      <c r="R54" s="133"/>
      <c r="S54" s="133"/>
      <c r="T54" s="133"/>
      <c r="U54" s="133"/>
      <c r="V54" s="133"/>
      <c r="W54" s="133"/>
      <c r="X54" s="133"/>
      <c r="Y54" s="133"/>
    </row>
    <row r="55" spans="2:54" x14ac:dyDescent="0.2">
      <c r="B55" s="150"/>
      <c r="C55" s="138">
        <v>1</v>
      </c>
      <c r="D55" s="138">
        <v>0</v>
      </c>
      <c r="E55" s="138">
        <v>0</v>
      </c>
      <c r="F55" s="138">
        <v>1</v>
      </c>
      <c r="G55" s="138">
        <v>0</v>
      </c>
      <c r="H55" s="138">
        <v>0</v>
      </c>
      <c r="I55" s="138">
        <v>0</v>
      </c>
      <c r="J55" s="138">
        <v>0</v>
      </c>
      <c r="K55" s="139">
        <v>0</v>
      </c>
      <c r="L55" s="133"/>
      <c r="M55" s="133"/>
      <c r="N55" s="133"/>
      <c r="O55" s="133"/>
      <c r="P55" s="137"/>
      <c r="Q55" s="140">
        <f t="shared" si="5"/>
        <v>2</v>
      </c>
      <c r="R55" s="133"/>
      <c r="S55" s="133"/>
      <c r="T55" s="133"/>
      <c r="U55" s="133"/>
      <c r="V55" s="133"/>
      <c r="W55" s="133"/>
      <c r="X55" s="133"/>
      <c r="Y55" s="133"/>
    </row>
    <row r="56" spans="2:54" x14ac:dyDescent="0.2">
      <c r="B56" s="150"/>
      <c r="C56" s="138">
        <v>0</v>
      </c>
      <c r="D56" s="138">
        <v>0</v>
      </c>
      <c r="E56" s="138">
        <v>0</v>
      </c>
      <c r="F56" s="138">
        <v>0</v>
      </c>
      <c r="G56" s="138">
        <v>0</v>
      </c>
      <c r="H56" s="138">
        <v>0</v>
      </c>
      <c r="I56" s="138">
        <v>0</v>
      </c>
      <c r="J56" s="138">
        <v>0</v>
      </c>
      <c r="K56" s="139">
        <v>0</v>
      </c>
      <c r="L56" s="149"/>
      <c r="M56" s="149"/>
      <c r="N56" s="149"/>
      <c r="O56" s="149"/>
      <c r="P56" s="137"/>
      <c r="Q56" s="140">
        <f t="shared" si="5"/>
        <v>0</v>
      </c>
      <c r="R56" s="133"/>
      <c r="S56" s="133"/>
      <c r="T56" s="133"/>
      <c r="U56" s="133"/>
      <c r="V56" s="133"/>
      <c r="W56" s="133"/>
      <c r="X56" s="133"/>
      <c r="Y56" s="133"/>
    </row>
    <row r="57" spans="2:54" x14ac:dyDescent="0.2">
      <c r="B57" s="150"/>
      <c r="C57" s="138">
        <v>0</v>
      </c>
      <c r="D57" s="138">
        <v>0</v>
      </c>
      <c r="E57" s="138">
        <v>0</v>
      </c>
      <c r="F57" s="138">
        <v>0</v>
      </c>
      <c r="G57" s="138">
        <v>0</v>
      </c>
      <c r="H57" s="138">
        <v>0</v>
      </c>
      <c r="I57" s="138">
        <v>0</v>
      </c>
      <c r="J57" s="138">
        <v>0</v>
      </c>
      <c r="K57" s="139">
        <v>0</v>
      </c>
      <c r="L57" s="133"/>
      <c r="M57" s="133"/>
      <c r="N57" s="133"/>
      <c r="O57" s="133"/>
      <c r="P57" s="137"/>
      <c r="Q57" s="140">
        <f t="shared" si="5"/>
        <v>0</v>
      </c>
      <c r="R57" s="133"/>
      <c r="S57" s="133"/>
      <c r="T57" s="133"/>
      <c r="U57" s="133"/>
      <c r="V57" s="133"/>
      <c r="W57" s="133"/>
      <c r="X57" s="133"/>
      <c r="Y57" s="133"/>
    </row>
    <row r="58" spans="2:54" x14ac:dyDescent="0.2">
      <c r="B58" s="150"/>
      <c r="C58" s="138">
        <v>0</v>
      </c>
      <c r="D58" s="138">
        <v>0</v>
      </c>
      <c r="E58" s="138">
        <v>0</v>
      </c>
      <c r="F58" s="138">
        <v>0</v>
      </c>
      <c r="G58" s="138">
        <v>0</v>
      </c>
      <c r="H58" s="138">
        <v>0</v>
      </c>
      <c r="I58" s="138">
        <v>0</v>
      </c>
      <c r="J58" s="138">
        <v>0</v>
      </c>
      <c r="K58" s="139">
        <v>0</v>
      </c>
      <c r="L58" s="133"/>
      <c r="M58" s="133"/>
      <c r="N58" s="133"/>
      <c r="O58" s="133"/>
      <c r="P58" s="137"/>
      <c r="Q58" s="140">
        <f t="shared" si="5"/>
        <v>0</v>
      </c>
      <c r="R58" s="133"/>
      <c r="S58" s="133"/>
      <c r="T58" s="133"/>
      <c r="U58" s="133"/>
      <c r="V58" s="133"/>
      <c r="W58" s="133"/>
      <c r="X58" s="133"/>
      <c r="Y58" s="133"/>
    </row>
    <row r="59" spans="2:54" x14ac:dyDescent="0.2">
      <c r="B59" s="150"/>
      <c r="C59" s="138">
        <v>0</v>
      </c>
      <c r="D59" s="138">
        <v>0</v>
      </c>
      <c r="E59" s="138">
        <v>0</v>
      </c>
      <c r="F59" s="138">
        <v>0</v>
      </c>
      <c r="G59" s="138">
        <v>0</v>
      </c>
      <c r="H59" s="138">
        <v>0</v>
      </c>
      <c r="I59" s="138">
        <v>0</v>
      </c>
      <c r="J59" s="138">
        <v>0</v>
      </c>
      <c r="K59" s="139">
        <v>0</v>
      </c>
      <c r="L59" s="133"/>
      <c r="M59" s="133"/>
      <c r="N59" s="133"/>
      <c r="O59" s="133"/>
      <c r="P59" s="137"/>
      <c r="Q59" s="140">
        <f t="shared" si="5"/>
        <v>0</v>
      </c>
      <c r="R59" s="133"/>
      <c r="S59" s="133"/>
      <c r="T59" s="133"/>
      <c r="U59" s="133"/>
      <c r="V59" s="133"/>
      <c r="W59" s="133"/>
      <c r="X59" s="133"/>
      <c r="Y59" s="133"/>
    </row>
    <row r="60" spans="2:54" x14ac:dyDescent="0.2">
      <c r="B60" s="150"/>
      <c r="C60" s="138">
        <v>0</v>
      </c>
      <c r="D60" s="138">
        <v>0</v>
      </c>
      <c r="E60" s="138">
        <v>0</v>
      </c>
      <c r="F60" s="138">
        <v>0</v>
      </c>
      <c r="G60" s="138">
        <v>0</v>
      </c>
      <c r="H60" s="138">
        <v>0</v>
      </c>
      <c r="I60" s="138">
        <v>0</v>
      </c>
      <c r="J60" s="138">
        <v>0</v>
      </c>
      <c r="K60" s="139">
        <v>0</v>
      </c>
      <c r="L60" s="133"/>
      <c r="M60" s="133"/>
      <c r="N60" s="133"/>
      <c r="O60" s="133"/>
      <c r="P60" s="137"/>
      <c r="Q60" s="140">
        <f t="shared" si="5"/>
        <v>0</v>
      </c>
      <c r="R60" s="133"/>
      <c r="S60" s="133"/>
      <c r="T60" s="133"/>
      <c r="U60" s="133"/>
      <c r="V60" s="133"/>
      <c r="W60" s="133"/>
      <c r="X60" s="133"/>
      <c r="Y60" s="133"/>
    </row>
    <row r="61" spans="2:54" x14ac:dyDescent="0.2">
      <c r="B61" s="151"/>
      <c r="C61" s="142">
        <v>0</v>
      </c>
      <c r="D61" s="142">
        <v>0</v>
      </c>
      <c r="E61" s="142">
        <v>0</v>
      </c>
      <c r="F61" s="142">
        <v>1</v>
      </c>
      <c r="G61" s="142">
        <v>0</v>
      </c>
      <c r="H61" s="142">
        <v>0</v>
      </c>
      <c r="I61" s="142">
        <v>0</v>
      </c>
      <c r="J61" s="142">
        <v>0</v>
      </c>
      <c r="K61" s="143">
        <v>0</v>
      </c>
      <c r="L61" s="133"/>
      <c r="M61" s="133"/>
      <c r="N61" s="133"/>
      <c r="O61" s="133"/>
      <c r="P61" s="141"/>
      <c r="Q61" s="144">
        <f t="shared" si="5"/>
        <v>1</v>
      </c>
      <c r="R61" s="133"/>
      <c r="S61" s="133"/>
      <c r="T61" s="133"/>
      <c r="U61" s="133"/>
      <c r="V61" s="133"/>
      <c r="W61" s="133"/>
      <c r="X61" s="133"/>
      <c r="Y61" s="133"/>
    </row>
    <row r="75" spans="2:15" x14ac:dyDescent="0.2">
      <c r="B75" s="128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</row>
    <row r="76" spans="2:15" x14ac:dyDescent="0.2"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</row>
    <row r="77" spans="2:15" x14ac:dyDescent="0.2"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</row>
    <row r="78" spans="2:15" x14ac:dyDescent="0.2"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</row>
    <row r="79" spans="2:15" x14ac:dyDescent="0.2"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</row>
    <row r="80" spans="2:15" x14ac:dyDescent="0.2"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</row>
    <row r="81" spans="2:15" x14ac:dyDescent="0.2"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</row>
    <row r="82" spans="2:15" x14ac:dyDescent="0.2"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</row>
    <row r="83" spans="2:15" x14ac:dyDescent="0.2"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</row>
    <row r="84" spans="2:15" x14ac:dyDescent="0.2"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</row>
    <row r="85" spans="2:15" x14ac:dyDescent="0.2"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</row>
    <row r="86" spans="2:15" x14ac:dyDescent="0.2"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</row>
    <row r="87" spans="2:15" x14ac:dyDescent="0.2"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</row>
    <row r="88" spans="2:15" x14ac:dyDescent="0.2"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</row>
    <row r="89" spans="2:15" x14ac:dyDescent="0.2"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</row>
    <row r="90" spans="2:15" x14ac:dyDescent="0.2"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</row>
    <row r="91" spans="2:15" x14ac:dyDescent="0.2"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</row>
    <row r="92" spans="2:15" x14ac:dyDescent="0.2"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</row>
    <row r="93" spans="2:15" x14ac:dyDescent="0.2">
      <c r="B93" s="128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</row>
    <row r="94" spans="2:15" x14ac:dyDescent="0.2"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</row>
    <row r="95" spans="2:15" x14ac:dyDescent="0.2"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</row>
    <row r="96" spans="2:15" x14ac:dyDescent="0.2"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</row>
    <row r="97" spans="2:15" x14ac:dyDescent="0.2"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</row>
    <row r="98" spans="2:15" x14ac:dyDescent="0.2"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</row>
    <row r="99" spans="2:15" x14ac:dyDescent="0.2"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</row>
    <row r="100" spans="2:15" x14ac:dyDescent="0.2"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</row>
    <row r="101" spans="2:15" x14ac:dyDescent="0.2"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</row>
    <row r="102" spans="2:15" x14ac:dyDescent="0.2"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</row>
    <row r="103" spans="2:15" x14ac:dyDescent="0.2"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</row>
    <row r="104" spans="2:15" x14ac:dyDescent="0.2"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</row>
    <row r="105" spans="2:15" x14ac:dyDescent="0.2"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</row>
    <row r="106" spans="2:15" x14ac:dyDescent="0.2"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</row>
    <row r="107" spans="2:15" x14ac:dyDescent="0.2"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</row>
    <row r="108" spans="2:15" x14ac:dyDescent="0.2"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</row>
    <row r="109" spans="2:15" x14ac:dyDescent="0.2"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</row>
  </sheetData>
  <hyperlinks>
    <hyperlink ref="AB3" location="'@Func1@generate_global_solution'!A1" display="@Func1@generate_global_solution" xr:uid="{B2BAA93D-9D95-4324-99D6-E7C5B7A07A45}"/>
    <hyperlink ref="AB8" location="'@Func2_miss@Disassembly_tool'!A1" display="@Func2_miss@Disassembly_tool" xr:uid="{A79162C0-57D6-43B7-B7F1-71BF5B73C154}"/>
    <hyperlink ref="AB12" location="'@Func3@fitness'!A1" display="@Func3@fitness" xr:uid="{DC77851A-3C88-412F-80D3-324BF7167E7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CBD8-A845-4332-843D-6DC0015281F1}">
  <dimension ref="A1:AE105"/>
  <sheetViews>
    <sheetView zoomScale="96" zoomScaleNormal="90" workbookViewId="0">
      <selection activeCell="C2" sqref="C2:H10"/>
    </sheetView>
  </sheetViews>
  <sheetFormatPr baseColWidth="10" defaultColWidth="10.83203125" defaultRowHeight="15" x14ac:dyDescent="0.2"/>
  <cols>
    <col min="1" max="1" width="7.1640625" style="2" bestFit="1" customWidth="1"/>
    <col min="2" max="2" width="44.1640625" style="2" bestFit="1" customWidth="1"/>
    <col min="3" max="4" width="3.33203125" style="2" bestFit="1" customWidth="1"/>
    <col min="5" max="5" width="20.5" style="2" bestFit="1" customWidth="1"/>
    <col min="6" max="8" width="3.6640625" style="2" bestFit="1" customWidth="1"/>
    <col min="9" max="11" width="5.6640625" style="2" bestFit="1" customWidth="1"/>
    <col min="12" max="12" width="3" style="2" bestFit="1" customWidth="1"/>
    <col min="13" max="13" width="3.5" style="2" bestFit="1" customWidth="1"/>
    <col min="14" max="14" width="3" style="2" bestFit="1" customWidth="1"/>
    <col min="15" max="22" width="2.33203125" style="2" bestFit="1" customWidth="1"/>
    <col min="23" max="23" width="7.5" style="2" customWidth="1"/>
    <col min="24" max="24" width="7" style="2" bestFit="1" customWidth="1"/>
    <col min="25" max="25" width="13.1640625" style="2" bestFit="1" customWidth="1"/>
    <col min="26" max="28" width="3.33203125" style="2" bestFit="1" customWidth="1"/>
    <col min="29" max="16384" width="10.83203125" style="2"/>
  </cols>
  <sheetData>
    <row r="1" spans="1:31" ht="16" x14ac:dyDescent="0.2">
      <c r="A1" s="1" t="s">
        <v>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spans="1:31" ht="16" x14ac:dyDescent="0.2">
      <c r="B2" s="130" t="s">
        <v>0</v>
      </c>
      <c r="C2" s="135">
        <v>4</v>
      </c>
      <c r="D2" s="136">
        <v>3</v>
      </c>
      <c r="E2" s="136">
        <v>0</v>
      </c>
      <c r="F2" s="136">
        <v>0</v>
      </c>
      <c r="G2" s="136">
        <v>3</v>
      </c>
      <c r="H2" s="134">
        <v>3</v>
      </c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52"/>
      <c r="V2" s="133"/>
      <c r="W2" s="133"/>
      <c r="X2" s="152"/>
      <c r="Y2" s="133"/>
      <c r="Z2" s="133"/>
      <c r="AA2" s="152"/>
      <c r="AB2" s="133"/>
      <c r="AC2" s="133"/>
      <c r="AE2" s="16"/>
    </row>
    <row r="3" spans="1:31" ht="80" x14ac:dyDescent="0.2">
      <c r="B3" s="137" t="s">
        <v>178</v>
      </c>
      <c r="C3" s="137">
        <v>3</v>
      </c>
      <c r="D3" s="133">
        <v>2</v>
      </c>
      <c r="E3" s="133">
        <v>1</v>
      </c>
      <c r="F3" s="133">
        <v>1</v>
      </c>
      <c r="G3" s="133">
        <v>1</v>
      </c>
      <c r="H3" s="140">
        <v>3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 spans="1:31" x14ac:dyDescent="0.2">
      <c r="B4" s="137"/>
      <c r="C4" s="137">
        <v>2</v>
      </c>
      <c r="D4" s="133">
        <v>1</v>
      </c>
      <c r="E4" s="133">
        <v>1</v>
      </c>
      <c r="F4" s="133">
        <v>2</v>
      </c>
      <c r="G4" s="133">
        <v>1</v>
      </c>
      <c r="H4" s="140">
        <v>2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 spans="1:31" x14ac:dyDescent="0.2">
      <c r="B5" s="137"/>
      <c r="C5" s="137">
        <v>0</v>
      </c>
      <c r="D5" s="133">
        <v>0</v>
      </c>
      <c r="E5" s="133">
        <v>0</v>
      </c>
      <c r="F5" s="133">
        <v>1</v>
      </c>
      <c r="G5" s="133">
        <v>0</v>
      </c>
      <c r="H5" s="140">
        <v>0</v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 spans="1:31" x14ac:dyDescent="0.2">
      <c r="B6" s="137"/>
      <c r="C6" s="137">
        <v>0</v>
      </c>
      <c r="D6" s="133">
        <v>6</v>
      </c>
      <c r="E6" s="133">
        <v>0</v>
      </c>
      <c r="F6" s="133">
        <v>0</v>
      </c>
      <c r="G6" s="133">
        <v>0</v>
      </c>
      <c r="H6" s="140">
        <v>0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spans="1:31" x14ac:dyDescent="0.2">
      <c r="B7" s="137"/>
      <c r="C7" s="137">
        <v>3</v>
      </c>
      <c r="D7" s="133">
        <v>1</v>
      </c>
      <c r="E7" s="133">
        <v>1</v>
      </c>
      <c r="F7" s="133">
        <v>1</v>
      </c>
      <c r="G7" s="133">
        <v>1</v>
      </c>
      <c r="H7" s="140">
        <v>0</v>
      </c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</row>
    <row r="8" spans="1:31" x14ac:dyDescent="0.2">
      <c r="B8" s="137"/>
      <c r="C8" s="137">
        <v>2</v>
      </c>
      <c r="D8" s="133">
        <v>1</v>
      </c>
      <c r="E8" s="133">
        <v>2</v>
      </c>
      <c r="F8" s="133">
        <v>2</v>
      </c>
      <c r="G8" s="133">
        <v>1</v>
      </c>
      <c r="H8" s="140">
        <v>0</v>
      </c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</row>
    <row r="9" spans="1:31" x14ac:dyDescent="0.2">
      <c r="B9" s="137"/>
      <c r="C9" s="137">
        <v>0</v>
      </c>
      <c r="D9" s="133">
        <v>0</v>
      </c>
      <c r="E9" s="133">
        <v>6</v>
      </c>
      <c r="F9" s="133">
        <v>0</v>
      </c>
      <c r="G9" s="133">
        <v>0</v>
      </c>
      <c r="H9" s="140">
        <v>0</v>
      </c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</row>
    <row r="10" spans="1:31" x14ac:dyDescent="0.2">
      <c r="B10" s="141"/>
      <c r="C10" s="141">
        <v>1</v>
      </c>
      <c r="D10" s="145">
        <v>0</v>
      </c>
      <c r="E10" s="145">
        <v>0</v>
      </c>
      <c r="F10" s="145">
        <v>2</v>
      </c>
      <c r="G10" s="145">
        <v>1</v>
      </c>
      <c r="H10" s="144">
        <v>1</v>
      </c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</row>
    <row r="11" spans="1:31" ht="16" x14ac:dyDescent="0.2">
      <c r="B11" s="146" t="s">
        <v>1</v>
      </c>
      <c r="C11" s="147">
        <v>9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</row>
    <row r="12" spans="1:31" x14ac:dyDescent="0.2"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</row>
    <row r="13" spans="1:31" x14ac:dyDescent="0.2"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spans="1:31" x14ac:dyDescent="0.2"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</row>
    <row r="15" spans="1:31" ht="16" x14ac:dyDescent="0.2">
      <c r="A15" s="1" t="s">
        <v>3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</row>
    <row r="16" spans="1:31" ht="16" x14ac:dyDescent="0.2">
      <c r="B16" s="146" t="s">
        <v>4</v>
      </c>
      <c r="C16" s="153">
        <v>0</v>
      </c>
      <c r="D16" s="153">
        <v>0</v>
      </c>
      <c r="E16" s="153">
        <v>0</v>
      </c>
      <c r="F16" s="153">
        <v>0</v>
      </c>
      <c r="G16" s="153">
        <v>0</v>
      </c>
      <c r="H16" s="153">
        <v>0</v>
      </c>
      <c r="I16" s="153">
        <v>0</v>
      </c>
      <c r="J16" s="153">
        <v>0</v>
      </c>
      <c r="K16" s="147">
        <v>0</v>
      </c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</row>
    <row r="17" spans="2:29" x14ac:dyDescent="0.2"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</row>
    <row r="18" spans="2:29" ht="16" x14ac:dyDescent="0.2">
      <c r="B18" s="146" t="s">
        <v>5</v>
      </c>
      <c r="C18" s="153">
        <v>0</v>
      </c>
      <c r="D18" s="153">
        <v>0</v>
      </c>
      <c r="E18" s="153">
        <v>0</v>
      </c>
      <c r="F18" s="153">
        <v>0</v>
      </c>
      <c r="G18" s="153">
        <v>0</v>
      </c>
      <c r="H18" s="153">
        <v>0</v>
      </c>
      <c r="I18" s="153">
        <v>0</v>
      </c>
      <c r="J18" s="153">
        <v>0</v>
      </c>
      <c r="K18" s="147">
        <v>0</v>
      </c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</row>
    <row r="19" spans="2:29" x14ac:dyDescent="0.2"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spans="2:29" ht="16" x14ac:dyDescent="0.2">
      <c r="B20" s="130" t="s">
        <v>6</v>
      </c>
      <c r="C20" s="135">
        <v>3</v>
      </c>
      <c r="D20" s="136">
        <v>4</v>
      </c>
      <c r="E20" s="136">
        <v>7</v>
      </c>
      <c r="F20" s="136">
        <v>3</v>
      </c>
      <c r="G20" s="136">
        <v>7</v>
      </c>
      <c r="H20" s="136">
        <v>8</v>
      </c>
      <c r="I20" s="136">
        <v>0</v>
      </c>
      <c r="J20" s="136">
        <v>3</v>
      </c>
      <c r="K20" s="136">
        <v>4</v>
      </c>
      <c r="L20" s="136">
        <v>8</v>
      </c>
      <c r="M20" s="136">
        <v>0</v>
      </c>
      <c r="N20" s="136">
        <v>4</v>
      </c>
      <c r="O20" s="136">
        <v>7</v>
      </c>
      <c r="P20" s="136">
        <v>3</v>
      </c>
      <c r="Q20" s="136">
        <v>4</v>
      </c>
      <c r="R20" s="136">
        <v>7</v>
      </c>
      <c r="S20" s="136">
        <v>3</v>
      </c>
      <c r="T20" s="136">
        <v>4</v>
      </c>
      <c r="U20" s="136">
        <v>5</v>
      </c>
      <c r="V20" s="136">
        <v>6</v>
      </c>
      <c r="W20" s="134">
        <v>7</v>
      </c>
      <c r="X20" s="133"/>
      <c r="Y20" s="133"/>
      <c r="Z20" s="133"/>
      <c r="AA20" s="133"/>
      <c r="AB20" s="133"/>
      <c r="AC20" s="133"/>
    </row>
    <row r="21" spans="2:29" ht="16" x14ac:dyDescent="0.2">
      <c r="B21" s="154" t="s">
        <v>9</v>
      </c>
      <c r="C21" s="141">
        <v>0</v>
      </c>
      <c r="D21" s="145">
        <v>0</v>
      </c>
      <c r="E21" s="145">
        <v>0</v>
      </c>
      <c r="F21" s="145">
        <v>1</v>
      </c>
      <c r="G21" s="145">
        <v>1</v>
      </c>
      <c r="H21" s="145">
        <v>1</v>
      </c>
      <c r="I21" s="145">
        <v>2</v>
      </c>
      <c r="J21" s="155">
        <v>2</v>
      </c>
      <c r="K21" s="145">
        <v>2</v>
      </c>
      <c r="L21" s="145">
        <v>2</v>
      </c>
      <c r="M21" s="145">
        <v>3</v>
      </c>
      <c r="N21" s="145">
        <v>3</v>
      </c>
      <c r="O21" s="145">
        <v>3</v>
      </c>
      <c r="P21" s="145">
        <v>4</v>
      </c>
      <c r="Q21" s="145">
        <v>4</v>
      </c>
      <c r="R21" s="145">
        <v>4</v>
      </c>
      <c r="S21" s="145">
        <v>5</v>
      </c>
      <c r="T21" s="145">
        <v>5</v>
      </c>
      <c r="U21" s="145">
        <v>5</v>
      </c>
      <c r="V21" s="145">
        <v>5</v>
      </c>
      <c r="W21" s="144">
        <v>5</v>
      </c>
      <c r="X21" s="133"/>
      <c r="Y21" s="133"/>
      <c r="Z21" s="133"/>
      <c r="AA21" s="133"/>
      <c r="AB21" s="133"/>
      <c r="AC21" s="133"/>
    </row>
    <row r="22" spans="2:29" x14ac:dyDescent="0.2"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</row>
    <row r="23" spans="2:29" ht="16" x14ac:dyDescent="0.2">
      <c r="B23" s="130" t="s">
        <v>7</v>
      </c>
      <c r="C23" s="134">
        <v>21</v>
      </c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</row>
    <row r="24" spans="2:29" ht="16" x14ac:dyDescent="0.2">
      <c r="B24" s="154" t="s">
        <v>8</v>
      </c>
      <c r="C24" s="144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</row>
    <row r="25" spans="2:29" x14ac:dyDescent="0.2"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spans="2:29" ht="16" x14ac:dyDescent="0.2">
      <c r="B26" s="130" t="s">
        <v>10</v>
      </c>
      <c r="C26" s="134">
        <v>12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</row>
    <row r="27" spans="2:29" ht="16" x14ac:dyDescent="0.2">
      <c r="B27" s="137" t="s">
        <v>11</v>
      </c>
      <c r="C27" s="140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</row>
    <row r="28" spans="2:29" ht="32" x14ac:dyDescent="0.2">
      <c r="B28" s="141" t="s">
        <v>12</v>
      </c>
      <c r="C28" s="144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</row>
    <row r="29" spans="2:29" x14ac:dyDescent="0.2"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</row>
    <row r="30" spans="2:29" ht="16" x14ac:dyDescent="0.2">
      <c r="B30" s="130" t="s">
        <v>13</v>
      </c>
      <c r="C30" s="134">
        <v>7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</row>
    <row r="31" spans="2:29" ht="16" x14ac:dyDescent="0.2">
      <c r="B31" s="141" t="s">
        <v>22</v>
      </c>
      <c r="C31" s="144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spans="2:29" x14ac:dyDescent="0.2"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</row>
    <row r="33" spans="2:29" ht="16" x14ac:dyDescent="0.2">
      <c r="B33" s="146" t="s">
        <v>14</v>
      </c>
      <c r="C33" s="147">
        <v>7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</row>
    <row r="34" spans="2:29" ht="409.6" x14ac:dyDescent="0.2">
      <c r="B34" s="146" t="s">
        <v>15</v>
      </c>
      <c r="C34" s="156">
        <v>4</v>
      </c>
      <c r="D34" s="133"/>
      <c r="E34" s="178" t="s">
        <v>179</v>
      </c>
      <c r="F34" s="178" t="s">
        <v>192</v>
      </c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</row>
    <row r="35" spans="2:29" ht="16" x14ac:dyDescent="0.2">
      <c r="B35" s="146" t="s">
        <v>4</v>
      </c>
      <c r="C35" s="135">
        <v>7</v>
      </c>
      <c r="D35" s="136">
        <v>0</v>
      </c>
      <c r="E35" s="136">
        <v>0</v>
      </c>
      <c r="F35" s="136">
        <v>0</v>
      </c>
      <c r="G35" s="136">
        <v>0</v>
      </c>
      <c r="H35" s="136">
        <v>0</v>
      </c>
      <c r="I35" s="136">
        <v>0</v>
      </c>
      <c r="J35" s="136">
        <v>0</v>
      </c>
      <c r="K35" s="136">
        <v>0</v>
      </c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4"/>
      <c r="X35" s="133"/>
      <c r="Y35" s="133"/>
      <c r="Z35" s="133"/>
      <c r="AA35" s="133"/>
      <c r="AB35" s="133"/>
      <c r="AC35" s="133"/>
    </row>
    <row r="36" spans="2:29" ht="16" x14ac:dyDescent="0.2">
      <c r="B36" s="146" t="s">
        <v>5</v>
      </c>
      <c r="C36" s="141">
        <v>4</v>
      </c>
      <c r="D36" s="145">
        <v>0</v>
      </c>
      <c r="E36" s="145">
        <v>0</v>
      </c>
      <c r="F36" s="145">
        <v>0</v>
      </c>
      <c r="G36" s="145">
        <v>0</v>
      </c>
      <c r="H36" s="145">
        <v>0</v>
      </c>
      <c r="I36" s="145">
        <v>0</v>
      </c>
      <c r="J36" s="145">
        <v>0</v>
      </c>
      <c r="K36" s="145">
        <v>0</v>
      </c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4"/>
      <c r="X36" s="133"/>
      <c r="Y36" s="133"/>
      <c r="Z36" s="133"/>
      <c r="AA36" s="133"/>
      <c r="AB36" s="133"/>
      <c r="AC36" s="133"/>
    </row>
    <row r="37" spans="2:29" ht="16" thickBot="1" x14ac:dyDescent="0.25"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spans="2:29" ht="16" x14ac:dyDescent="0.2">
      <c r="B38" s="157" t="s">
        <v>188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9"/>
    </row>
    <row r="39" spans="2:29" ht="48" x14ac:dyDescent="0.2">
      <c r="B39" s="160" t="s">
        <v>0</v>
      </c>
      <c r="C39" s="136"/>
      <c r="D39" s="136"/>
      <c r="E39" s="136"/>
      <c r="F39" s="136"/>
      <c r="G39" s="134"/>
      <c r="H39" s="133"/>
      <c r="I39" s="130" t="s">
        <v>182</v>
      </c>
      <c r="J39" s="161" t="s">
        <v>183</v>
      </c>
      <c r="K39" s="161" t="s">
        <v>184</v>
      </c>
      <c r="L39" s="161" t="s">
        <v>185</v>
      </c>
      <c r="M39" s="161" t="s">
        <v>186</v>
      </c>
      <c r="N39" s="156" t="s">
        <v>187</v>
      </c>
      <c r="O39" s="133"/>
      <c r="P39" s="130" t="s">
        <v>0</v>
      </c>
      <c r="Q39" s="136"/>
      <c r="R39" s="136"/>
      <c r="S39" s="136"/>
      <c r="T39" s="136"/>
      <c r="U39" s="134"/>
      <c r="V39" s="133"/>
      <c r="W39" s="130" t="s">
        <v>16</v>
      </c>
      <c r="X39" s="136" t="s">
        <v>20</v>
      </c>
      <c r="Y39" s="136"/>
      <c r="Z39" s="136"/>
      <c r="AA39" s="136"/>
      <c r="AB39" s="134"/>
      <c r="AC39" s="162"/>
    </row>
    <row r="40" spans="2:29" x14ac:dyDescent="0.2">
      <c r="B40" s="163">
        <v>4</v>
      </c>
      <c r="C40" s="136">
        <v>3</v>
      </c>
      <c r="D40" s="136">
        <v>0</v>
      </c>
      <c r="E40" s="136">
        <v>0</v>
      </c>
      <c r="F40" s="136">
        <v>3</v>
      </c>
      <c r="G40" s="134">
        <v>3</v>
      </c>
      <c r="H40" s="133"/>
      <c r="I40" s="164">
        <v>1</v>
      </c>
      <c r="J40" s="165">
        <v>1</v>
      </c>
      <c r="K40" s="165">
        <v>0</v>
      </c>
      <c r="L40" s="165">
        <v>0</v>
      </c>
      <c r="M40" s="165">
        <v>1</v>
      </c>
      <c r="N40" s="166">
        <v>1</v>
      </c>
      <c r="O40" s="133"/>
      <c r="P40" s="137">
        <f>B40-I40</f>
        <v>3</v>
      </c>
      <c r="Q40" s="133">
        <f>C40-J40</f>
        <v>2</v>
      </c>
      <c r="R40" s="133">
        <f>D40-K40</f>
        <v>0</v>
      </c>
      <c r="S40" s="133">
        <f t="shared" ref="S40:U48" si="0">E40-L40</f>
        <v>0</v>
      </c>
      <c r="T40" s="133">
        <f t="shared" si="0"/>
        <v>2</v>
      </c>
      <c r="U40" s="140">
        <f t="shared" si="0"/>
        <v>2</v>
      </c>
      <c r="V40" s="133"/>
      <c r="W40" s="137">
        <v>3</v>
      </c>
      <c r="X40" s="133">
        <v>2</v>
      </c>
      <c r="Y40" s="133">
        <v>0</v>
      </c>
      <c r="Z40" s="133">
        <v>0</v>
      </c>
      <c r="AA40" s="133">
        <v>2</v>
      </c>
      <c r="AB40" s="140">
        <v>2</v>
      </c>
      <c r="AC40" s="162"/>
    </row>
    <row r="41" spans="2:29" x14ac:dyDescent="0.2">
      <c r="B41" s="167">
        <v>3</v>
      </c>
      <c r="C41" s="133">
        <v>2</v>
      </c>
      <c r="D41" s="133">
        <v>1</v>
      </c>
      <c r="E41" s="133">
        <v>1</v>
      </c>
      <c r="F41" s="133">
        <v>1</v>
      </c>
      <c r="G41" s="140">
        <v>3</v>
      </c>
      <c r="H41" s="133"/>
      <c r="I41" s="164">
        <v>0</v>
      </c>
      <c r="J41" s="165">
        <v>0</v>
      </c>
      <c r="K41" s="165">
        <v>0</v>
      </c>
      <c r="L41" s="165">
        <v>1</v>
      </c>
      <c r="M41" s="165">
        <v>0</v>
      </c>
      <c r="N41" s="166">
        <v>0</v>
      </c>
      <c r="O41" s="133"/>
      <c r="P41" s="137">
        <f>B41-I41</f>
        <v>3</v>
      </c>
      <c r="Q41" s="133">
        <f t="shared" ref="Q41:Q48" si="1">C41-J41</f>
        <v>2</v>
      </c>
      <c r="R41" s="133">
        <f t="shared" ref="R41:R48" si="2">D41-K41</f>
        <v>1</v>
      </c>
      <c r="S41" s="133">
        <f t="shared" si="0"/>
        <v>0</v>
      </c>
      <c r="T41" s="133">
        <f t="shared" si="0"/>
        <v>1</v>
      </c>
      <c r="U41" s="140">
        <f t="shared" si="0"/>
        <v>3</v>
      </c>
      <c r="V41" s="133"/>
      <c r="W41" s="137">
        <v>3</v>
      </c>
      <c r="X41" s="133">
        <v>2</v>
      </c>
      <c r="Y41" s="133">
        <v>1</v>
      </c>
      <c r="Z41" s="133">
        <v>0</v>
      </c>
      <c r="AA41" s="133">
        <v>1</v>
      </c>
      <c r="AB41" s="140">
        <v>3</v>
      </c>
      <c r="AC41" s="162"/>
    </row>
    <row r="42" spans="2:29" x14ac:dyDescent="0.2">
      <c r="B42" s="167">
        <v>2</v>
      </c>
      <c r="C42" s="133">
        <v>1</v>
      </c>
      <c r="D42" s="133">
        <v>1</v>
      </c>
      <c r="E42" s="133">
        <v>2</v>
      </c>
      <c r="F42" s="133">
        <v>1</v>
      </c>
      <c r="G42" s="140">
        <v>2</v>
      </c>
      <c r="H42" s="133"/>
      <c r="I42" s="164">
        <v>0</v>
      </c>
      <c r="J42" s="165">
        <v>0</v>
      </c>
      <c r="K42" s="165">
        <v>0</v>
      </c>
      <c r="L42" s="165">
        <v>0</v>
      </c>
      <c r="M42" s="165">
        <v>0</v>
      </c>
      <c r="N42" s="166">
        <v>0</v>
      </c>
      <c r="O42" s="133"/>
      <c r="P42" s="137">
        <f t="shared" ref="P42:P48" si="3">B42-I42</f>
        <v>2</v>
      </c>
      <c r="Q42" s="133">
        <f t="shared" si="1"/>
        <v>1</v>
      </c>
      <c r="R42" s="133">
        <f t="shared" si="2"/>
        <v>1</v>
      </c>
      <c r="S42" s="133">
        <f t="shared" si="0"/>
        <v>2</v>
      </c>
      <c r="T42" s="133">
        <f t="shared" si="0"/>
        <v>1</v>
      </c>
      <c r="U42" s="140">
        <f t="shared" si="0"/>
        <v>2</v>
      </c>
      <c r="V42" s="133"/>
      <c r="W42" s="137">
        <v>2</v>
      </c>
      <c r="X42" s="133">
        <v>1</v>
      </c>
      <c r="Y42" s="133">
        <v>1</v>
      </c>
      <c r="Z42" s="133">
        <v>2</v>
      </c>
      <c r="AA42" s="133">
        <v>1</v>
      </c>
      <c r="AB42" s="140">
        <v>2</v>
      </c>
      <c r="AC42" s="162"/>
    </row>
    <row r="43" spans="2:29" x14ac:dyDescent="0.2">
      <c r="B43" s="167">
        <v>0</v>
      </c>
      <c r="C43" s="133">
        <v>0</v>
      </c>
      <c r="D43" s="133">
        <v>0</v>
      </c>
      <c r="E43" s="133">
        <v>1</v>
      </c>
      <c r="F43" s="133">
        <v>0</v>
      </c>
      <c r="G43" s="140">
        <v>0</v>
      </c>
      <c r="H43" s="133"/>
      <c r="I43" s="164">
        <v>0</v>
      </c>
      <c r="J43" s="165">
        <v>0</v>
      </c>
      <c r="K43" s="165">
        <v>0</v>
      </c>
      <c r="L43" s="165">
        <v>0</v>
      </c>
      <c r="M43" s="165">
        <v>0</v>
      </c>
      <c r="N43" s="166">
        <v>0</v>
      </c>
      <c r="O43" s="133"/>
      <c r="P43" s="137">
        <f t="shared" si="3"/>
        <v>0</v>
      </c>
      <c r="Q43" s="133">
        <f t="shared" si="1"/>
        <v>0</v>
      </c>
      <c r="R43" s="133">
        <f t="shared" si="2"/>
        <v>0</v>
      </c>
      <c r="S43" s="133">
        <f t="shared" si="0"/>
        <v>1</v>
      </c>
      <c r="T43" s="133">
        <f t="shared" si="0"/>
        <v>0</v>
      </c>
      <c r="U43" s="140">
        <f t="shared" si="0"/>
        <v>0</v>
      </c>
      <c r="V43" s="133"/>
      <c r="W43" s="137">
        <v>0</v>
      </c>
      <c r="X43" s="133">
        <v>0</v>
      </c>
      <c r="Y43" s="133">
        <v>0</v>
      </c>
      <c r="Z43" s="133">
        <v>1</v>
      </c>
      <c r="AA43" s="133">
        <v>0</v>
      </c>
      <c r="AB43" s="140">
        <v>0</v>
      </c>
      <c r="AC43" s="162"/>
    </row>
    <row r="44" spans="2:29" x14ac:dyDescent="0.2">
      <c r="B44" s="167">
        <v>0</v>
      </c>
      <c r="C44" s="133">
        <v>6</v>
      </c>
      <c r="D44" s="133">
        <v>0</v>
      </c>
      <c r="E44" s="133">
        <v>0</v>
      </c>
      <c r="F44" s="133">
        <v>0</v>
      </c>
      <c r="G44" s="140">
        <v>0</v>
      </c>
      <c r="H44" s="133"/>
      <c r="I44" s="164">
        <v>0</v>
      </c>
      <c r="J44" s="165">
        <v>1</v>
      </c>
      <c r="K44" s="165">
        <v>0</v>
      </c>
      <c r="L44" s="165">
        <v>0</v>
      </c>
      <c r="M44" s="165">
        <v>0</v>
      </c>
      <c r="N44" s="166">
        <v>0</v>
      </c>
      <c r="O44" s="133"/>
      <c r="P44" s="137">
        <f t="shared" si="3"/>
        <v>0</v>
      </c>
      <c r="Q44" s="133">
        <f t="shared" si="1"/>
        <v>5</v>
      </c>
      <c r="R44" s="133">
        <f t="shared" si="2"/>
        <v>0</v>
      </c>
      <c r="S44" s="133">
        <f t="shared" si="0"/>
        <v>0</v>
      </c>
      <c r="T44" s="133">
        <f t="shared" si="0"/>
        <v>0</v>
      </c>
      <c r="U44" s="140">
        <f t="shared" si="0"/>
        <v>0</v>
      </c>
      <c r="V44" s="133"/>
      <c r="W44" s="137">
        <v>0</v>
      </c>
      <c r="X44" s="133">
        <v>5</v>
      </c>
      <c r="Y44" s="133">
        <v>0</v>
      </c>
      <c r="Z44" s="133">
        <v>0</v>
      </c>
      <c r="AA44" s="133">
        <v>0</v>
      </c>
      <c r="AB44" s="140">
        <v>0</v>
      </c>
      <c r="AC44" s="162"/>
    </row>
    <row r="45" spans="2:29" x14ac:dyDescent="0.2">
      <c r="B45" s="167">
        <v>3</v>
      </c>
      <c r="C45" s="133">
        <v>1</v>
      </c>
      <c r="D45" s="133">
        <v>1</v>
      </c>
      <c r="E45" s="133">
        <v>1</v>
      </c>
      <c r="F45" s="133">
        <v>1</v>
      </c>
      <c r="G45" s="140">
        <v>0</v>
      </c>
      <c r="H45" s="133"/>
      <c r="I45" s="164">
        <v>1</v>
      </c>
      <c r="J45" s="165">
        <v>0</v>
      </c>
      <c r="K45" s="165">
        <v>0</v>
      </c>
      <c r="L45" s="165">
        <v>1</v>
      </c>
      <c r="M45" s="165">
        <v>0</v>
      </c>
      <c r="N45" s="166">
        <v>0</v>
      </c>
      <c r="O45" s="133"/>
      <c r="P45" s="137">
        <f t="shared" si="3"/>
        <v>2</v>
      </c>
      <c r="Q45" s="133">
        <f t="shared" si="1"/>
        <v>1</v>
      </c>
      <c r="R45" s="133">
        <f t="shared" si="2"/>
        <v>1</v>
      </c>
      <c r="S45" s="133">
        <f t="shared" si="0"/>
        <v>0</v>
      </c>
      <c r="T45" s="133">
        <f t="shared" si="0"/>
        <v>1</v>
      </c>
      <c r="U45" s="140">
        <f t="shared" si="0"/>
        <v>0</v>
      </c>
      <c r="V45" s="133"/>
      <c r="W45" s="137">
        <v>2</v>
      </c>
      <c r="X45" s="133">
        <v>1</v>
      </c>
      <c r="Y45" s="133">
        <v>1</v>
      </c>
      <c r="Z45" s="133">
        <v>0</v>
      </c>
      <c r="AA45" s="133">
        <v>1</v>
      </c>
      <c r="AB45" s="140">
        <v>0</v>
      </c>
      <c r="AC45" s="162"/>
    </row>
    <row r="46" spans="2:29" x14ac:dyDescent="0.2">
      <c r="B46" s="167">
        <v>2</v>
      </c>
      <c r="C46" s="133">
        <v>1</v>
      </c>
      <c r="D46" s="133">
        <v>2</v>
      </c>
      <c r="E46" s="133">
        <v>2</v>
      </c>
      <c r="F46" s="133">
        <v>1</v>
      </c>
      <c r="G46" s="140">
        <v>0</v>
      </c>
      <c r="H46" s="133"/>
      <c r="I46" s="164">
        <v>0</v>
      </c>
      <c r="J46" s="165">
        <v>0</v>
      </c>
      <c r="K46" s="165">
        <v>0</v>
      </c>
      <c r="L46" s="165">
        <v>1</v>
      </c>
      <c r="M46" s="165">
        <v>0</v>
      </c>
      <c r="N46" s="166">
        <v>0</v>
      </c>
      <c r="O46" s="133"/>
      <c r="P46" s="137">
        <f t="shared" si="3"/>
        <v>2</v>
      </c>
      <c r="Q46" s="133">
        <f t="shared" si="1"/>
        <v>1</v>
      </c>
      <c r="R46" s="133">
        <f t="shared" si="2"/>
        <v>2</v>
      </c>
      <c r="S46" s="133">
        <f t="shared" si="0"/>
        <v>1</v>
      </c>
      <c r="T46" s="133">
        <f t="shared" si="0"/>
        <v>1</v>
      </c>
      <c r="U46" s="140">
        <f t="shared" si="0"/>
        <v>0</v>
      </c>
      <c r="V46" s="133"/>
      <c r="W46" s="137">
        <v>2</v>
      </c>
      <c r="X46" s="133">
        <v>1</v>
      </c>
      <c r="Y46" s="133">
        <v>2</v>
      </c>
      <c r="Z46" s="133">
        <v>1</v>
      </c>
      <c r="AA46" s="133">
        <v>1</v>
      </c>
      <c r="AB46" s="140">
        <v>0</v>
      </c>
      <c r="AC46" s="162"/>
    </row>
    <row r="47" spans="2:29" ht="16" x14ac:dyDescent="0.2">
      <c r="B47" s="167">
        <v>0</v>
      </c>
      <c r="C47" s="133">
        <v>0</v>
      </c>
      <c r="D47" s="133">
        <v>6</v>
      </c>
      <c r="E47" s="133">
        <v>0</v>
      </c>
      <c r="F47" s="133">
        <v>0</v>
      </c>
      <c r="G47" s="140">
        <v>0</v>
      </c>
      <c r="H47" s="133"/>
      <c r="I47" s="164">
        <v>0</v>
      </c>
      <c r="J47" s="165">
        <v>0</v>
      </c>
      <c r="K47" s="165">
        <v>0</v>
      </c>
      <c r="L47" s="165">
        <v>0</v>
      </c>
      <c r="M47" s="165">
        <v>0</v>
      </c>
      <c r="N47" s="166">
        <v>0</v>
      </c>
      <c r="O47" s="133"/>
      <c r="P47" s="137">
        <f t="shared" si="3"/>
        <v>0</v>
      </c>
      <c r="Q47" s="133">
        <f t="shared" si="1"/>
        <v>0</v>
      </c>
      <c r="R47" s="133">
        <f t="shared" si="2"/>
        <v>6</v>
      </c>
      <c r="S47" s="133">
        <f t="shared" si="0"/>
        <v>0</v>
      </c>
      <c r="T47" s="133">
        <f t="shared" si="0"/>
        <v>0</v>
      </c>
      <c r="U47" s="140">
        <f t="shared" si="0"/>
        <v>0</v>
      </c>
      <c r="V47" s="133"/>
      <c r="W47" s="137" t="s">
        <v>20</v>
      </c>
      <c r="X47" s="133" t="s">
        <v>20</v>
      </c>
      <c r="Y47" s="133" t="s">
        <v>20</v>
      </c>
      <c r="Z47" s="133" t="s">
        <v>20</v>
      </c>
      <c r="AA47" s="133" t="s">
        <v>20</v>
      </c>
      <c r="AB47" s="140" t="s">
        <v>20</v>
      </c>
      <c r="AC47" s="162"/>
    </row>
    <row r="48" spans="2:29" x14ac:dyDescent="0.2">
      <c r="B48" s="168">
        <v>1</v>
      </c>
      <c r="C48" s="145">
        <v>0</v>
      </c>
      <c r="D48" s="145">
        <v>0</v>
      </c>
      <c r="E48" s="145">
        <v>2</v>
      </c>
      <c r="F48" s="145">
        <v>1</v>
      </c>
      <c r="G48" s="144">
        <v>1</v>
      </c>
      <c r="H48" s="133"/>
      <c r="I48" s="169">
        <v>0</v>
      </c>
      <c r="J48" s="170">
        <v>0</v>
      </c>
      <c r="K48" s="170">
        <v>0</v>
      </c>
      <c r="L48" s="170">
        <v>0</v>
      </c>
      <c r="M48" s="170">
        <v>0</v>
      </c>
      <c r="N48" s="171">
        <v>0</v>
      </c>
      <c r="O48" s="133"/>
      <c r="P48" s="141">
        <f t="shared" si="3"/>
        <v>1</v>
      </c>
      <c r="Q48" s="145">
        <f t="shared" si="1"/>
        <v>0</v>
      </c>
      <c r="R48" s="145">
        <f t="shared" si="2"/>
        <v>0</v>
      </c>
      <c r="S48" s="145">
        <f t="shared" si="0"/>
        <v>2</v>
      </c>
      <c r="T48" s="145">
        <f t="shared" si="0"/>
        <v>1</v>
      </c>
      <c r="U48" s="144">
        <f t="shared" si="0"/>
        <v>1</v>
      </c>
      <c r="V48" s="133"/>
      <c r="W48" s="141">
        <v>1</v>
      </c>
      <c r="X48" s="145">
        <v>0</v>
      </c>
      <c r="Y48" s="145">
        <v>0</v>
      </c>
      <c r="Z48" s="145">
        <v>2</v>
      </c>
      <c r="AA48" s="145">
        <v>1</v>
      </c>
      <c r="AB48" s="144">
        <v>1</v>
      </c>
      <c r="AC48" s="162"/>
    </row>
    <row r="49" spans="2:29" x14ac:dyDescent="0.2">
      <c r="B49" s="167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62"/>
    </row>
    <row r="50" spans="2:29" ht="409.6" x14ac:dyDescent="0.2">
      <c r="B50" s="160" t="s">
        <v>21</v>
      </c>
      <c r="C50" s="135">
        <v>3</v>
      </c>
      <c r="D50" s="136">
        <v>4</v>
      </c>
      <c r="E50" s="136">
        <v>3</v>
      </c>
      <c r="F50" s="136">
        <v>8</v>
      </c>
      <c r="G50" s="136">
        <v>0</v>
      </c>
      <c r="H50" s="136">
        <v>3</v>
      </c>
      <c r="I50" s="136">
        <v>4</v>
      </c>
      <c r="J50" s="136">
        <v>8</v>
      </c>
      <c r="K50" s="136">
        <v>0</v>
      </c>
      <c r="L50" s="136">
        <v>4</v>
      </c>
      <c r="M50" s="136">
        <v>3</v>
      </c>
      <c r="N50" s="136">
        <v>4</v>
      </c>
      <c r="O50" s="136">
        <v>3</v>
      </c>
      <c r="P50" s="136">
        <v>4</v>
      </c>
      <c r="Q50" s="136">
        <v>5</v>
      </c>
      <c r="R50" s="134">
        <v>6</v>
      </c>
      <c r="S50" s="133"/>
      <c r="T50" s="133"/>
      <c r="U50" s="133"/>
      <c r="V50" s="133"/>
      <c r="W50" s="133"/>
      <c r="X50" s="178" t="s">
        <v>180</v>
      </c>
      <c r="Y50" s="178" t="s">
        <v>181</v>
      </c>
      <c r="Z50" s="133"/>
      <c r="AA50" s="178" t="s">
        <v>193</v>
      </c>
      <c r="AB50" s="178" t="s">
        <v>194</v>
      </c>
      <c r="AC50" s="162"/>
    </row>
    <row r="51" spans="2:29" ht="16" x14ac:dyDescent="0.2">
      <c r="B51" s="172" t="s">
        <v>9</v>
      </c>
      <c r="C51" s="141">
        <v>0</v>
      </c>
      <c r="D51" s="145">
        <v>0</v>
      </c>
      <c r="E51" s="145">
        <v>1</v>
      </c>
      <c r="F51" s="145">
        <v>1</v>
      </c>
      <c r="G51" s="145">
        <v>2</v>
      </c>
      <c r="H51" s="155">
        <v>2</v>
      </c>
      <c r="I51" s="145">
        <v>2</v>
      </c>
      <c r="J51" s="145">
        <v>2</v>
      </c>
      <c r="K51" s="145">
        <v>3</v>
      </c>
      <c r="L51" s="145">
        <v>3</v>
      </c>
      <c r="M51" s="145">
        <v>4</v>
      </c>
      <c r="N51" s="145">
        <v>4</v>
      </c>
      <c r="O51" s="145">
        <v>5</v>
      </c>
      <c r="P51" s="145">
        <v>5</v>
      </c>
      <c r="Q51" s="145">
        <v>5</v>
      </c>
      <c r="R51" s="144">
        <v>5</v>
      </c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62"/>
    </row>
    <row r="52" spans="2:29" x14ac:dyDescent="0.2">
      <c r="B52" s="167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62"/>
    </row>
    <row r="53" spans="2:29" ht="16" x14ac:dyDescent="0.2">
      <c r="B53" s="160" t="s">
        <v>7</v>
      </c>
      <c r="C53" s="134">
        <v>16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62"/>
    </row>
    <row r="54" spans="2:29" ht="16" x14ac:dyDescent="0.2">
      <c r="B54" s="172" t="s">
        <v>23</v>
      </c>
      <c r="C54" s="144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62"/>
    </row>
    <row r="55" spans="2:29" x14ac:dyDescent="0.2">
      <c r="B55" s="167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62"/>
    </row>
    <row r="56" spans="2:29" ht="16" x14ac:dyDescent="0.2">
      <c r="B56" s="160" t="s">
        <v>10</v>
      </c>
      <c r="C56" s="134">
        <v>4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62"/>
    </row>
    <row r="57" spans="2:29" ht="16" x14ac:dyDescent="0.2">
      <c r="B57" s="168" t="s">
        <v>11</v>
      </c>
      <c r="C57" s="144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62"/>
    </row>
    <row r="58" spans="2:29" x14ac:dyDescent="0.2">
      <c r="B58" s="167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62"/>
    </row>
    <row r="59" spans="2:29" ht="16" x14ac:dyDescent="0.2">
      <c r="B59" s="160" t="s">
        <v>13</v>
      </c>
      <c r="C59" s="134">
        <v>1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62"/>
    </row>
    <row r="60" spans="2:29" ht="16" x14ac:dyDescent="0.2">
      <c r="B60" s="168" t="s">
        <v>22</v>
      </c>
      <c r="C60" s="144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62"/>
    </row>
    <row r="61" spans="2:29" x14ac:dyDescent="0.2">
      <c r="B61" s="167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62"/>
    </row>
    <row r="62" spans="2:29" ht="16" x14ac:dyDescent="0.2">
      <c r="B62" s="160" t="s">
        <v>24</v>
      </c>
      <c r="C62" s="134">
        <v>8</v>
      </c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62"/>
    </row>
    <row r="63" spans="2:29" ht="16" x14ac:dyDescent="0.2">
      <c r="B63" s="173" t="s">
        <v>25</v>
      </c>
      <c r="C63" s="140">
        <v>1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62"/>
    </row>
    <row r="64" spans="2:29" ht="16" x14ac:dyDescent="0.2">
      <c r="B64" s="160" t="s">
        <v>4</v>
      </c>
      <c r="C64" s="136">
        <v>7</v>
      </c>
      <c r="D64" s="136">
        <v>8</v>
      </c>
      <c r="E64" s="136">
        <v>0</v>
      </c>
      <c r="F64" s="136">
        <v>0</v>
      </c>
      <c r="G64" s="136">
        <v>0</v>
      </c>
      <c r="H64" s="136">
        <v>0</v>
      </c>
      <c r="I64" s="136">
        <v>0</v>
      </c>
      <c r="J64" s="136">
        <v>0</v>
      </c>
      <c r="K64" s="136">
        <v>0</v>
      </c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4"/>
      <c r="X64" s="133"/>
      <c r="Y64" s="133"/>
      <c r="Z64" s="133"/>
      <c r="AA64" s="133"/>
      <c r="AB64" s="133"/>
      <c r="AC64" s="162"/>
    </row>
    <row r="65" spans="2:29" ht="16" x14ac:dyDescent="0.2">
      <c r="B65" s="174" t="s">
        <v>5</v>
      </c>
      <c r="C65" s="145">
        <v>4</v>
      </c>
      <c r="D65" s="145">
        <v>1</v>
      </c>
      <c r="E65" s="145">
        <v>0</v>
      </c>
      <c r="F65" s="145">
        <v>0</v>
      </c>
      <c r="G65" s="145">
        <v>0</v>
      </c>
      <c r="H65" s="145">
        <v>0</v>
      </c>
      <c r="I65" s="145">
        <v>0</v>
      </c>
      <c r="J65" s="145">
        <v>0</v>
      </c>
      <c r="K65" s="145">
        <v>0</v>
      </c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4"/>
      <c r="X65" s="133"/>
      <c r="Y65" s="133"/>
      <c r="Z65" s="133"/>
      <c r="AA65" s="133"/>
      <c r="AB65" s="133"/>
      <c r="AC65" s="162"/>
    </row>
    <row r="66" spans="2:29" ht="16" thickBot="1" x14ac:dyDescent="0.25">
      <c r="B66" s="175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7"/>
    </row>
    <row r="67" spans="2:29" x14ac:dyDescent="0.2">
      <c r="B67" s="152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spans="2:29" ht="16" thickBot="1" x14ac:dyDescent="0.25"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spans="2:29" ht="16" x14ac:dyDescent="0.2">
      <c r="B69" s="157" t="s">
        <v>189</v>
      </c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9"/>
    </row>
    <row r="70" spans="2:29" ht="48" x14ac:dyDescent="0.2">
      <c r="B70" s="160" t="s">
        <v>0</v>
      </c>
      <c r="C70" s="136"/>
      <c r="D70" s="136"/>
      <c r="E70" s="136"/>
      <c r="F70" s="136"/>
      <c r="G70" s="134"/>
      <c r="H70" s="133"/>
      <c r="I70" s="130" t="s">
        <v>182</v>
      </c>
      <c r="J70" s="161" t="s">
        <v>183</v>
      </c>
      <c r="K70" s="161" t="s">
        <v>184</v>
      </c>
      <c r="L70" s="161" t="s">
        <v>185</v>
      </c>
      <c r="M70" s="161" t="s">
        <v>186</v>
      </c>
      <c r="N70" s="156" t="s">
        <v>187</v>
      </c>
      <c r="O70" s="133"/>
      <c r="P70" s="130" t="s">
        <v>0</v>
      </c>
      <c r="Q70" s="136"/>
      <c r="R70" s="136"/>
      <c r="S70" s="136"/>
      <c r="T70" s="136"/>
      <c r="U70" s="134"/>
      <c r="V70" s="133"/>
      <c r="W70" s="130" t="s">
        <v>16</v>
      </c>
      <c r="X70" s="136" t="s">
        <v>20</v>
      </c>
      <c r="Y70" s="136"/>
      <c r="Z70" s="136"/>
      <c r="AA70" s="136"/>
      <c r="AB70" s="134"/>
      <c r="AC70" s="162"/>
    </row>
    <row r="71" spans="2:29" x14ac:dyDescent="0.2">
      <c r="B71" s="167">
        <v>3</v>
      </c>
      <c r="C71" s="133">
        <v>2</v>
      </c>
      <c r="D71" s="133">
        <v>0</v>
      </c>
      <c r="E71" s="133">
        <v>0</v>
      </c>
      <c r="F71" s="133">
        <v>2</v>
      </c>
      <c r="G71" s="140">
        <v>2</v>
      </c>
      <c r="H71" s="133"/>
      <c r="I71" s="164">
        <v>0</v>
      </c>
      <c r="J71" s="165">
        <v>0</v>
      </c>
      <c r="K71" s="165">
        <v>0</v>
      </c>
      <c r="L71" s="165">
        <v>0</v>
      </c>
      <c r="M71" s="165">
        <v>0</v>
      </c>
      <c r="N71" s="166">
        <v>0</v>
      </c>
      <c r="O71" s="133"/>
      <c r="P71" s="137">
        <f>B71-I71</f>
        <v>3</v>
      </c>
      <c r="Q71" s="133">
        <f>C71-J71</f>
        <v>2</v>
      </c>
      <c r="R71" s="133">
        <f>D71-K71</f>
        <v>0</v>
      </c>
      <c r="S71" s="133">
        <f t="shared" ref="S71:S79" si="4">E71-L71</f>
        <v>0</v>
      </c>
      <c r="T71" s="133">
        <f t="shared" ref="T71:T79" si="5">F71-M71</f>
        <v>2</v>
      </c>
      <c r="U71" s="140">
        <f t="shared" ref="U71:U79" si="6">G71-N71</f>
        <v>2</v>
      </c>
      <c r="V71" s="133"/>
      <c r="W71" s="137">
        <v>3</v>
      </c>
      <c r="X71" s="133">
        <v>2</v>
      </c>
      <c r="Y71" s="133">
        <v>0</v>
      </c>
      <c r="Z71" s="133">
        <v>0</v>
      </c>
      <c r="AA71" s="133">
        <v>2</v>
      </c>
      <c r="AB71" s="140">
        <v>2</v>
      </c>
      <c r="AC71" s="162"/>
    </row>
    <row r="72" spans="2:29" x14ac:dyDescent="0.2">
      <c r="B72" s="167">
        <v>3</v>
      </c>
      <c r="C72" s="133">
        <v>2</v>
      </c>
      <c r="D72" s="133">
        <v>1</v>
      </c>
      <c r="E72" s="133">
        <v>0</v>
      </c>
      <c r="F72" s="133">
        <v>1</v>
      </c>
      <c r="G72" s="140">
        <v>3</v>
      </c>
      <c r="H72" s="133"/>
      <c r="I72" s="164">
        <v>0</v>
      </c>
      <c r="J72" s="165">
        <v>0</v>
      </c>
      <c r="K72" s="165">
        <v>0</v>
      </c>
      <c r="L72" s="165">
        <v>0</v>
      </c>
      <c r="M72" s="165">
        <v>0</v>
      </c>
      <c r="N72" s="166">
        <v>0</v>
      </c>
      <c r="O72" s="133"/>
      <c r="P72" s="137">
        <f>B72-I72</f>
        <v>3</v>
      </c>
      <c r="Q72" s="133">
        <f t="shared" ref="Q72:Q79" si="7">C72-J72</f>
        <v>2</v>
      </c>
      <c r="R72" s="133">
        <f t="shared" ref="R72:R79" si="8">D72-K72</f>
        <v>1</v>
      </c>
      <c r="S72" s="133">
        <f t="shared" si="4"/>
        <v>0</v>
      </c>
      <c r="T72" s="133">
        <f t="shared" si="5"/>
        <v>1</v>
      </c>
      <c r="U72" s="140">
        <f t="shared" si="6"/>
        <v>3</v>
      </c>
      <c r="V72" s="133"/>
      <c r="W72" s="137">
        <v>3</v>
      </c>
      <c r="X72" s="133">
        <v>2</v>
      </c>
      <c r="Y72" s="133">
        <v>1</v>
      </c>
      <c r="Z72" s="133">
        <v>0</v>
      </c>
      <c r="AA72" s="133">
        <v>1</v>
      </c>
      <c r="AB72" s="140">
        <v>3</v>
      </c>
      <c r="AC72" s="162"/>
    </row>
    <row r="73" spans="2:29" x14ac:dyDescent="0.2">
      <c r="B73" s="167">
        <v>2</v>
      </c>
      <c r="C73" s="133">
        <v>1</v>
      </c>
      <c r="D73" s="133">
        <v>1</v>
      </c>
      <c r="E73" s="133">
        <v>2</v>
      </c>
      <c r="F73" s="133">
        <v>1</v>
      </c>
      <c r="G73" s="140">
        <v>2</v>
      </c>
      <c r="H73" s="133"/>
      <c r="I73" s="164">
        <v>0</v>
      </c>
      <c r="J73" s="165">
        <v>0</v>
      </c>
      <c r="K73" s="165">
        <v>0</v>
      </c>
      <c r="L73" s="165">
        <v>0</v>
      </c>
      <c r="M73" s="165">
        <v>0</v>
      </c>
      <c r="N73" s="166">
        <v>0</v>
      </c>
      <c r="O73" s="133"/>
      <c r="P73" s="137">
        <f t="shared" ref="P73:P79" si="9">B73-I73</f>
        <v>2</v>
      </c>
      <c r="Q73" s="133">
        <f t="shared" si="7"/>
        <v>1</v>
      </c>
      <c r="R73" s="133">
        <f t="shared" si="8"/>
        <v>1</v>
      </c>
      <c r="S73" s="133">
        <f t="shared" si="4"/>
        <v>2</v>
      </c>
      <c r="T73" s="133">
        <f t="shared" si="5"/>
        <v>1</v>
      </c>
      <c r="U73" s="140">
        <f t="shared" si="6"/>
        <v>2</v>
      </c>
      <c r="V73" s="133"/>
      <c r="W73" s="137">
        <v>2</v>
      </c>
      <c r="X73" s="133">
        <v>1</v>
      </c>
      <c r="Y73" s="133">
        <v>1</v>
      </c>
      <c r="Z73" s="133">
        <v>2</v>
      </c>
      <c r="AA73" s="133">
        <v>1</v>
      </c>
      <c r="AB73" s="140">
        <v>2</v>
      </c>
      <c r="AC73" s="162"/>
    </row>
    <row r="74" spans="2:29" x14ac:dyDescent="0.2">
      <c r="B74" s="167">
        <v>0</v>
      </c>
      <c r="C74" s="133">
        <v>0</v>
      </c>
      <c r="D74" s="133">
        <v>0</v>
      </c>
      <c r="E74" s="133">
        <v>1</v>
      </c>
      <c r="F74" s="133">
        <v>0</v>
      </c>
      <c r="G74" s="140">
        <v>0</v>
      </c>
      <c r="H74" s="133"/>
      <c r="I74" s="164">
        <v>0</v>
      </c>
      <c r="J74" s="165">
        <v>0</v>
      </c>
      <c r="K74" s="165">
        <v>0</v>
      </c>
      <c r="L74" s="165">
        <v>0</v>
      </c>
      <c r="M74" s="165">
        <v>0</v>
      </c>
      <c r="N74" s="166">
        <v>0</v>
      </c>
      <c r="O74" s="133"/>
      <c r="P74" s="137">
        <f t="shared" si="9"/>
        <v>0</v>
      </c>
      <c r="Q74" s="133">
        <f t="shared" si="7"/>
        <v>0</v>
      </c>
      <c r="R74" s="133">
        <f t="shared" si="8"/>
        <v>0</v>
      </c>
      <c r="S74" s="133">
        <f t="shared" si="4"/>
        <v>1</v>
      </c>
      <c r="T74" s="133">
        <f t="shared" si="5"/>
        <v>0</v>
      </c>
      <c r="U74" s="140">
        <f t="shared" si="6"/>
        <v>0</v>
      </c>
      <c r="V74" s="133"/>
      <c r="W74" s="137">
        <v>0</v>
      </c>
      <c r="X74" s="133">
        <v>0</v>
      </c>
      <c r="Y74" s="133">
        <v>0</v>
      </c>
      <c r="Z74" s="133">
        <v>1</v>
      </c>
      <c r="AA74" s="133">
        <v>0</v>
      </c>
      <c r="AB74" s="140">
        <v>0</v>
      </c>
      <c r="AC74" s="162"/>
    </row>
    <row r="75" spans="2:29" x14ac:dyDescent="0.2">
      <c r="B75" s="167">
        <v>0</v>
      </c>
      <c r="C75" s="133">
        <v>5</v>
      </c>
      <c r="D75" s="133">
        <v>0</v>
      </c>
      <c r="E75" s="133">
        <v>0</v>
      </c>
      <c r="F75" s="133">
        <v>0</v>
      </c>
      <c r="G75" s="140">
        <v>0</v>
      </c>
      <c r="H75" s="133"/>
      <c r="I75" s="164">
        <v>0</v>
      </c>
      <c r="J75" s="165">
        <v>0</v>
      </c>
      <c r="K75" s="165">
        <v>0</v>
      </c>
      <c r="L75" s="165">
        <v>0</v>
      </c>
      <c r="M75" s="165">
        <v>0</v>
      </c>
      <c r="N75" s="166">
        <v>0</v>
      </c>
      <c r="O75" s="133"/>
      <c r="P75" s="137">
        <f t="shared" si="9"/>
        <v>0</v>
      </c>
      <c r="Q75" s="133">
        <f t="shared" si="7"/>
        <v>5</v>
      </c>
      <c r="R75" s="133">
        <f t="shared" si="8"/>
        <v>0</v>
      </c>
      <c r="S75" s="133">
        <f t="shared" si="4"/>
        <v>0</v>
      </c>
      <c r="T75" s="133">
        <f t="shared" si="5"/>
        <v>0</v>
      </c>
      <c r="U75" s="140">
        <f t="shared" si="6"/>
        <v>0</v>
      </c>
      <c r="V75" s="133"/>
      <c r="W75" s="137">
        <v>0</v>
      </c>
      <c r="X75" s="133">
        <v>5</v>
      </c>
      <c r="Y75" s="133">
        <v>0</v>
      </c>
      <c r="Z75" s="133">
        <v>0</v>
      </c>
      <c r="AA75" s="133">
        <v>0</v>
      </c>
      <c r="AB75" s="140">
        <v>0</v>
      </c>
      <c r="AC75" s="162"/>
    </row>
    <row r="76" spans="2:29" x14ac:dyDescent="0.2">
      <c r="B76" s="167">
        <v>2</v>
      </c>
      <c r="C76" s="133">
        <v>1</v>
      </c>
      <c r="D76" s="133">
        <v>1</v>
      </c>
      <c r="E76" s="133">
        <v>0</v>
      </c>
      <c r="F76" s="133">
        <v>1</v>
      </c>
      <c r="G76" s="140">
        <v>0</v>
      </c>
      <c r="H76" s="133"/>
      <c r="I76" s="164">
        <v>0</v>
      </c>
      <c r="J76" s="165">
        <v>0</v>
      </c>
      <c r="K76" s="165">
        <v>0</v>
      </c>
      <c r="L76" s="165">
        <v>0</v>
      </c>
      <c r="M76" s="165">
        <v>0</v>
      </c>
      <c r="N76" s="166">
        <v>0</v>
      </c>
      <c r="O76" s="133"/>
      <c r="P76" s="137">
        <f t="shared" si="9"/>
        <v>2</v>
      </c>
      <c r="Q76" s="133">
        <f t="shared" si="7"/>
        <v>1</v>
      </c>
      <c r="R76" s="133">
        <f t="shared" si="8"/>
        <v>1</v>
      </c>
      <c r="S76" s="133">
        <f t="shared" si="4"/>
        <v>0</v>
      </c>
      <c r="T76" s="133">
        <f t="shared" si="5"/>
        <v>1</v>
      </c>
      <c r="U76" s="140">
        <f t="shared" si="6"/>
        <v>0</v>
      </c>
      <c r="V76" s="133"/>
      <c r="W76" s="137">
        <v>2</v>
      </c>
      <c r="X76" s="133">
        <v>1</v>
      </c>
      <c r="Y76" s="133">
        <v>1</v>
      </c>
      <c r="Z76" s="133">
        <v>0</v>
      </c>
      <c r="AA76" s="133">
        <v>1</v>
      </c>
      <c r="AB76" s="140">
        <v>0</v>
      </c>
      <c r="AC76" s="162"/>
    </row>
    <row r="77" spans="2:29" x14ac:dyDescent="0.2">
      <c r="B77" s="167">
        <v>2</v>
      </c>
      <c r="C77" s="133">
        <v>1</v>
      </c>
      <c r="D77" s="133">
        <v>2</v>
      </c>
      <c r="E77" s="133">
        <v>1</v>
      </c>
      <c r="F77" s="133">
        <v>1</v>
      </c>
      <c r="G77" s="140">
        <v>0</v>
      </c>
      <c r="H77" s="133"/>
      <c r="I77" s="164">
        <v>0</v>
      </c>
      <c r="J77" s="165">
        <v>0</v>
      </c>
      <c r="K77" s="165">
        <v>0</v>
      </c>
      <c r="L77" s="165">
        <v>0</v>
      </c>
      <c r="M77" s="165">
        <v>0</v>
      </c>
      <c r="N77" s="166">
        <v>0</v>
      </c>
      <c r="O77" s="133"/>
      <c r="P77" s="137">
        <f t="shared" si="9"/>
        <v>2</v>
      </c>
      <c r="Q77" s="133">
        <f t="shared" si="7"/>
        <v>1</v>
      </c>
      <c r="R77" s="133">
        <f t="shared" si="8"/>
        <v>2</v>
      </c>
      <c r="S77" s="133">
        <f t="shared" si="4"/>
        <v>1</v>
      </c>
      <c r="T77" s="133">
        <f t="shared" si="5"/>
        <v>1</v>
      </c>
      <c r="U77" s="140">
        <f t="shared" si="6"/>
        <v>0</v>
      </c>
      <c r="V77" s="133"/>
      <c r="W77" s="137">
        <v>2</v>
      </c>
      <c r="X77" s="133">
        <v>1</v>
      </c>
      <c r="Y77" s="133">
        <v>2</v>
      </c>
      <c r="Z77" s="133">
        <v>1</v>
      </c>
      <c r="AA77" s="133">
        <v>1</v>
      </c>
      <c r="AB77" s="140">
        <v>0</v>
      </c>
      <c r="AC77" s="162"/>
    </row>
    <row r="78" spans="2:29" ht="48" x14ac:dyDescent="0.2">
      <c r="B78" s="167" t="s">
        <v>20</v>
      </c>
      <c r="C78" s="133" t="s">
        <v>20</v>
      </c>
      <c r="D78" s="133" t="s">
        <v>20</v>
      </c>
      <c r="E78" s="133" t="s">
        <v>20</v>
      </c>
      <c r="F78" s="133" t="s">
        <v>20</v>
      </c>
      <c r="G78" s="140" t="s">
        <v>20</v>
      </c>
      <c r="H78" s="133"/>
      <c r="I78" s="164">
        <v>0</v>
      </c>
      <c r="J78" s="165">
        <v>0</v>
      </c>
      <c r="K78" s="165">
        <v>0</v>
      </c>
      <c r="L78" s="165">
        <v>0</v>
      </c>
      <c r="M78" s="165">
        <v>0</v>
      </c>
      <c r="N78" s="166">
        <v>0</v>
      </c>
      <c r="O78" s="133"/>
      <c r="P78" s="137" t="s">
        <v>20</v>
      </c>
      <c r="Q78" s="133" t="s">
        <v>20</v>
      </c>
      <c r="R78" s="133" t="s">
        <v>20</v>
      </c>
      <c r="S78" s="133" t="s">
        <v>20</v>
      </c>
      <c r="T78" s="133" t="s">
        <v>20</v>
      </c>
      <c r="U78" s="140" t="s">
        <v>20</v>
      </c>
      <c r="V78" s="133"/>
      <c r="W78" s="137" t="s">
        <v>20</v>
      </c>
      <c r="X78" s="133" t="s">
        <v>20</v>
      </c>
      <c r="Y78" s="133" t="s">
        <v>20</v>
      </c>
      <c r="Z78" s="133" t="s">
        <v>20</v>
      </c>
      <c r="AA78" s="133" t="s">
        <v>20</v>
      </c>
      <c r="AB78" s="140" t="s">
        <v>20</v>
      </c>
      <c r="AC78" s="162"/>
    </row>
    <row r="79" spans="2:29" ht="16" x14ac:dyDescent="0.2">
      <c r="B79" s="168">
        <v>1</v>
      </c>
      <c r="C79" s="145">
        <v>0</v>
      </c>
      <c r="D79" s="145">
        <v>0</v>
      </c>
      <c r="E79" s="145">
        <v>2</v>
      </c>
      <c r="F79" s="145">
        <v>1</v>
      </c>
      <c r="G79" s="144">
        <v>1</v>
      </c>
      <c r="H79" s="133"/>
      <c r="I79" s="169">
        <v>0</v>
      </c>
      <c r="J79" s="170">
        <v>0</v>
      </c>
      <c r="K79" s="170">
        <v>0</v>
      </c>
      <c r="L79" s="170">
        <v>0</v>
      </c>
      <c r="M79" s="170">
        <v>0</v>
      </c>
      <c r="N79" s="171">
        <v>0</v>
      </c>
      <c r="O79" s="133"/>
      <c r="P79" s="141">
        <f t="shared" si="9"/>
        <v>1</v>
      </c>
      <c r="Q79" s="145">
        <f t="shared" si="7"/>
        <v>0</v>
      </c>
      <c r="R79" s="145">
        <f t="shared" si="8"/>
        <v>0</v>
      </c>
      <c r="S79" s="145">
        <f t="shared" si="4"/>
        <v>2</v>
      </c>
      <c r="T79" s="145">
        <f t="shared" si="5"/>
        <v>1</v>
      </c>
      <c r="U79" s="144">
        <f t="shared" si="6"/>
        <v>1</v>
      </c>
      <c r="V79" s="133"/>
      <c r="W79" s="141" t="s">
        <v>20</v>
      </c>
      <c r="X79" s="145" t="s">
        <v>20</v>
      </c>
      <c r="Y79" s="145" t="s">
        <v>20</v>
      </c>
      <c r="Z79" s="145" t="s">
        <v>20</v>
      </c>
      <c r="AA79" s="145" t="s">
        <v>20</v>
      </c>
      <c r="AB79" s="144" t="s">
        <v>20</v>
      </c>
      <c r="AC79" s="162"/>
    </row>
    <row r="80" spans="2:29" x14ac:dyDescent="0.2">
      <c r="B80" s="167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62"/>
    </row>
    <row r="81" spans="2:29" ht="272" x14ac:dyDescent="0.2">
      <c r="B81" s="160" t="s">
        <v>21</v>
      </c>
      <c r="C81" s="135">
        <v>3</v>
      </c>
      <c r="D81" s="136">
        <v>4</v>
      </c>
      <c r="E81" s="136">
        <v>3</v>
      </c>
      <c r="F81" s="136">
        <v>8</v>
      </c>
      <c r="G81" s="136">
        <v>0</v>
      </c>
      <c r="H81" s="136">
        <v>3</v>
      </c>
      <c r="I81" s="136">
        <v>4</v>
      </c>
      <c r="J81" s="136">
        <v>8</v>
      </c>
      <c r="K81" s="136">
        <v>0</v>
      </c>
      <c r="L81" s="136">
        <v>4</v>
      </c>
      <c r="M81" s="136">
        <v>3</v>
      </c>
      <c r="N81" s="136">
        <v>4</v>
      </c>
      <c r="O81" s="136">
        <v>3</v>
      </c>
      <c r="P81" s="136">
        <v>4</v>
      </c>
      <c r="Q81" s="136">
        <v>5</v>
      </c>
      <c r="R81" s="134">
        <v>6</v>
      </c>
      <c r="S81" s="133"/>
      <c r="T81" s="133"/>
      <c r="U81" s="133"/>
      <c r="V81" s="133"/>
      <c r="W81" s="133"/>
      <c r="X81" s="178" t="s">
        <v>193</v>
      </c>
      <c r="Y81" s="178" t="s">
        <v>194</v>
      </c>
      <c r="Z81" s="133"/>
      <c r="AA81" s="133"/>
      <c r="AB81" s="133"/>
      <c r="AC81" s="162"/>
    </row>
    <row r="82" spans="2:29" ht="16" x14ac:dyDescent="0.2">
      <c r="B82" s="172" t="s">
        <v>9</v>
      </c>
      <c r="C82" s="141">
        <v>0</v>
      </c>
      <c r="D82" s="145">
        <v>0</v>
      </c>
      <c r="E82" s="145">
        <v>1</v>
      </c>
      <c r="F82" s="145">
        <v>1</v>
      </c>
      <c r="G82" s="145">
        <v>2</v>
      </c>
      <c r="H82" s="155">
        <v>2</v>
      </c>
      <c r="I82" s="145">
        <v>2</v>
      </c>
      <c r="J82" s="145">
        <v>2</v>
      </c>
      <c r="K82" s="145">
        <v>3</v>
      </c>
      <c r="L82" s="145">
        <v>3</v>
      </c>
      <c r="M82" s="145">
        <v>4</v>
      </c>
      <c r="N82" s="145">
        <v>4</v>
      </c>
      <c r="O82" s="145">
        <v>5</v>
      </c>
      <c r="P82" s="145">
        <v>5</v>
      </c>
      <c r="Q82" s="145">
        <v>5</v>
      </c>
      <c r="R82" s="144">
        <v>5</v>
      </c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62"/>
    </row>
    <row r="83" spans="2:29" x14ac:dyDescent="0.2">
      <c r="B83" s="167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62"/>
    </row>
    <row r="84" spans="2:29" ht="16" x14ac:dyDescent="0.2">
      <c r="B84" s="160" t="s">
        <v>7</v>
      </c>
      <c r="C84" s="134">
        <v>16</v>
      </c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62"/>
    </row>
    <row r="85" spans="2:29" ht="16" x14ac:dyDescent="0.2">
      <c r="B85" s="172" t="s">
        <v>23</v>
      </c>
      <c r="C85" s="144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62"/>
    </row>
    <row r="86" spans="2:29" x14ac:dyDescent="0.2">
      <c r="B86" s="167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62"/>
    </row>
    <row r="87" spans="2:29" ht="16" x14ac:dyDescent="0.2">
      <c r="B87" s="160" t="s">
        <v>10</v>
      </c>
      <c r="C87" s="134">
        <v>4</v>
      </c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62"/>
    </row>
    <row r="88" spans="2:29" ht="16" x14ac:dyDescent="0.2">
      <c r="B88" s="168" t="s">
        <v>11</v>
      </c>
      <c r="C88" s="144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62"/>
    </row>
    <row r="89" spans="2:29" x14ac:dyDescent="0.2">
      <c r="B89" s="167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62"/>
    </row>
    <row r="90" spans="2:29" ht="16" x14ac:dyDescent="0.2">
      <c r="B90" s="160" t="s">
        <v>13</v>
      </c>
      <c r="C90" s="134">
        <v>1</v>
      </c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62"/>
    </row>
    <row r="91" spans="2:29" ht="16" x14ac:dyDescent="0.2">
      <c r="B91" s="168" t="s">
        <v>22</v>
      </c>
      <c r="C91" s="144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62"/>
    </row>
    <row r="92" spans="2:29" x14ac:dyDescent="0.2">
      <c r="B92" s="167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62"/>
    </row>
    <row r="93" spans="2:29" ht="16" x14ac:dyDescent="0.2">
      <c r="B93" s="160" t="s">
        <v>24</v>
      </c>
      <c r="C93" s="134">
        <v>8</v>
      </c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62"/>
    </row>
    <row r="94" spans="2:29" ht="16" x14ac:dyDescent="0.2">
      <c r="B94" s="173" t="s">
        <v>25</v>
      </c>
      <c r="C94" s="140">
        <v>1</v>
      </c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62"/>
    </row>
    <row r="95" spans="2:29" ht="16" x14ac:dyDescent="0.2">
      <c r="B95" s="160" t="s">
        <v>4</v>
      </c>
      <c r="C95" s="136">
        <v>7</v>
      </c>
      <c r="D95" s="136">
        <v>8</v>
      </c>
      <c r="E95" s="136">
        <v>0</v>
      </c>
      <c r="F95" s="136">
        <v>0</v>
      </c>
      <c r="G95" s="136">
        <v>0</v>
      </c>
      <c r="H95" s="136">
        <v>0</v>
      </c>
      <c r="I95" s="136">
        <v>0</v>
      </c>
      <c r="J95" s="136">
        <v>0</v>
      </c>
      <c r="K95" s="136">
        <v>0</v>
      </c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4"/>
      <c r="X95" s="133"/>
      <c r="Y95" s="133"/>
      <c r="Z95" s="133"/>
      <c r="AA95" s="133"/>
      <c r="AB95" s="133"/>
      <c r="AC95" s="162"/>
    </row>
    <row r="96" spans="2:29" ht="16" x14ac:dyDescent="0.2">
      <c r="B96" s="174" t="s">
        <v>5</v>
      </c>
      <c r="C96" s="145">
        <v>4</v>
      </c>
      <c r="D96" s="145">
        <v>1</v>
      </c>
      <c r="E96" s="145">
        <v>0</v>
      </c>
      <c r="F96" s="145">
        <v>0</v>
      </c>
      <c r="G96" s="145">
        <v>0</v>
      </c>
      <c r="H96" s="145">
        <v>0</v>
      </c>
      <c r="I96" s="145">
        <v>0</v>
      </c>
      <c r="J96" s="145">
        <v>0</v>
      </c>
      <c r="K96" s="145">
        <v>0</v>
      </c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4"/>
      <c r="X96" s="133"/>
      <c r="Y96" s="133"/>
      <c r="Z96" s="133"/>
      <c r="AA96" s="133"/>
      <c r="AB96" s="133"/>
      <c r="AC96" s="162"/>
    </row>
    <row r="97" spans="1:29" ht="16" thickBot="1" x14ac:dyDescent="0.25">
      <c r="B97" s="175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7"/>
    </row>
    <row r="98" spans="1:29" x14ac:dyDescent="0.2"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spans="1:29" ht="16" x14ac:dyDescent="0.2">
      <c r="B99" s="133" t="s">
        <v>26</v>
      </c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spans="1:29" ht="16" x14ac:dyDescent="0.2">
      <c r="B100" s="133" t="s">
        <v>26</v>
      </c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spans="1:29" ht="16" x14ac:dyDescent="0.2">
      <c r="B101" s="133" t="s">
        <v>26</v>
      </c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spans="1:29" ht="16" thickBot="1" x14ac:dyDescent="0.25"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spans="1:29" ht="16" x14ac:dyDescent="0.2">
      <c r="B103" s="157" t="s">
        <v>190</v>
      </c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9"/>
      <c r="X103" s="133"/>
      <c r="Y103" s="133"/>
      <c r="Z103" s="133"/>
      <c r="AA103" s="133"/>
      <c r="AB103" s="133"/>
      <c r="AC103" s="133"/>
    </row>
    <row r="104" spans="1:29" ht="16" x14ac:dyDescent="0.2">
      <c r="A104" s="1" t="s">
        <v>29</v>
      </c>
      <c r="B104" s="173" t="s">
        <v>4</v>
      </c>
      <c r="C104" s="133">
        <v>7</v>
      </c>
      <c r="D104" s="133">
        <v>8</v>
      </c>
      <c r="E104" s="133" t="s">
        <v>191</v>
      </c>
      <c r="F104" s="133" t="s">
        <v>191</v>
      </c>
      <c r="G104" s="133" t="s">
        <v>191</v>
      </c>
      <c r="H104" s="133" t="s">
        <v>191</v>
      </c>
      <c r="I104" s="133" t="s">
        <v>191</v>
      </c>
      <c r="J104" s="133" t="s">
        <v>191</v>
      </c>
      <c r="K104" s="133" t="s">
        <v>191</v>
      </c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62"/>
      <c r="X104" s="133"/>
      <c r="Y104" s="133"/>
      <c r="Z104" s="133"/>
      <c r="AA104" s="133"/>
      <c r="AB104" s="133"/>
      <c r="AC104" s="133"/>
    </row>
    <row r="105" spans="1:29" ht="17" thickBot="1" x14ac:dyDescent="0.25">
      <c r="B105" s="175" t="s">
        <v>5</v>
      </c>
      <c r="C105" s="176">
        <v>4</v>
      </c>
      <c r="D105" s="176">
        <v>1</v>
      </c>
      <c r="E105" s="176" t="s">
        <v>191</v>
      </c>
      <c r="F105" s="176" t="s">
        <v>191</v>
      </c>
      <c r="G105" s="176" t="s">
        <v>191</v>
      </c>
      <c r="H105" s="176" t="s">
        <v>191</v>
      </c>
      <c r="I105" s="176" t="s">
        <v>191</v>
      </c>
      <c r="J105" s="176" t="s">
        <v>191</v>
      </c>
      <c r="K105" s="176" t="s">
        <v>191</v>
      </c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7"/>
      <c r="X105" s="133"/>
      <c r="Y105" s="133"/>
      <c r="Z105" s="133"/>
      <c r="AA105" s="133"/>
      <c r="AB105" s="133"/>
      <c r="AC105" s="1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E7B0-1B32-43F1-8263-FC299A7A6C82}">
  <dimension ref="A1:S9"/>
  <sheetViews>
    <sheetView workbookViewId="0">
      <selection activeCell="X49" sqref="X49"/>
    </sheetView>
  </sheetViews>
  <sheetFormatPr baseColWidth="10" defaultColWidth="8.83203125" defaultRowHeight="15" x14ac:dyDescent="0.2"/>
  <cols>
    <col min="1" max="1" width="6.6640625" style="34" bestFit="1" customWidth="1"/>
    <col min="2" max="2" width="14.1640625" style="34" bestFit="1" customWidth="1"/>
    <col min="3" max="5" width="2" style="34" bestFit="1" customWidth="1"/>
    <col min="6" max="9" width="3" style="34" bestFit="1" customWidth="1"/>
    <col min="10" max="10" width="2" style="34" bestFit="1" customWidth="1"/>
    <col min="11" max="19" width="3" style="34" bestFit="1" customWidth="1"/>
    <col min="20" max="16384" width="8.83203125" style="34"/>
  </cols>
  <sheetData>
    <row r="1" spans="1:19" ht="16" x14ac:dyDescent="0.2">
      <c r="A1" s="1" t="s">
        <v>2</v>
      </c>
    </row>
    <row r="2" spans="1:19" ht="16" x14ac:dyDescent="0.2">
      <c r="B2" s="28" t="s">
        <v>4</v>
      </c>
      <c r="C2" s="13">
        <v>3</v>
      </c>
      <c r="D2" s="13">
        <v>1</v>
      </c>
      <c r="E2" s="13">
        <v>2</v>
      </c>
      <c r="F2" s="13">
        <v>17</v>
      </c>
      <c r="G2" s="13">
        <v>15</v>
      </c>
      <c r="H2" s="13">
        <v>16</v>
      </c>
      <c r="I2" s="13">
        <v>14</v>
      </c>
      <c r="J2" s="13">
        <v>4</v>
      </c>
      <c r="K2" s="13">
        <v>13</v>
      </c>
      <c r="L2" s="13">
        <v>12</v>
      </c>
      <c r="M2" s="13">
        <v>11</v>
      </c>
      <c r="N2" s="13">
        <v>10</v>
      </c>
      <c r="O2" s="13">
        <v>5</v>
      </c>
      <c r="P2" s="13">
        <v>6</v>
      </c>
      <c r="Q2" s="13">
        <v>9</v>
      </c>
      <c r="R2" s="13">
        <v>7</v>
      </c>
      <c r="S2" s="21">
        <v>8</v>
      </c>
    </row>
    <row r="4" spans="1:19" x14ac:dyDescent="0.2">
      <c r="B4" s="35" t="s">
        <v>28</v>
      </c>
      <c r="C4" s="36">
        <v>1</v>
      </c>
      <c r="D4" s="36">
        <v>2</v>
      </c>
      <c r="E4" s="36">
        <v>3</v>
      </c>
      <c r="F4" s="36">
        <v>4</v>
      </c>
      <c r="G4" s="36">
        <v>5</v>
      </c>
      <c r="H4" s="36">
        <v>6</v>
      </c>
      <c r="I4" s="36">
        <v>7</v>
      </c>
      <c r="J4" s="36">
        <v>8</v>
      </c>
      <c r="K4" s="36">
        <v>9</v>
      </c>
      <c r="L4" s="36">
        <v>10</v>
      </c>
      <c r="M4" s="36">
        <v>11</v>
      </c>
      <c r="N4" s="36">
        <v>12</v>
      </c>
      <c r="O4" s="36">
        <v>13</v>
      </c>
      <c r="P4" s="36">
        <v>14</v>
      </c>
      <c r="Q4" s="36">
        <v>15</v>
      </c>
      <c r="R4" s="36">
        <v>16</v>
      </c>
      <c r="S4" s="37">
        <v>17</v>
      </c>
    </row>
    <row r="5" spans="1:19" x14ac:dyDescent="0.2">
      <c r="B5" s="44" t="s">
        <v>32</v>
      </c>
      <c r="C5" s="38">
        <v>1</v>
      </c>
      <c r="D5" s="38">
        <v>1</v>
      </c>
      <c r="E5" s="38">
        <v>1</v>
      </c>
      <c r="F5" s="38">
        <v>3</v>
      </c>
      <c r="G5" s="38">
        <v>3</v>
      </c>
      <c r="H5" s="38">
        <v>4</v>
      </c>
      <c r="I5" s="38">
        <v>3</v>
      </c>
      <c r="J5" s="38">
        <v>4</v>
      </c>
      <c r="K5" s="38">
        <v>3</v>
      </c>
      <c r="L5" s="38">
        <v>4</v>
      </c>
      <c r="M5" s="38">
        <v>4</v>
      </c>
      <c r="N5" s="38">
        <v>3</v>
      </c>
      <c r="O5" s="38">
        <v>4</v>
      </c>
      <c r="P5" s="38">
        <v>2</v>
      </c>
      <c r="Q5" s="38">
        <v>2</v>
      </c>
      <c r="R5" s="38">
        <v>2</v>
      </c>
      <c r="S5" s="39">
        <v>2</v>
      </c>
    </row>
    <row r="7" spans="1:19" ht="16" thickBot="1" x14ac:dyDescent="0.25"/>
    <row r="8" spans="1:19" ht="16" x14ac:dyDescent="0.2">
      <c r="A8" s="1" t="s">
        <v>29</v>
      </c>
      <c r="B8" s="33" t="s">
        <v>4</v>
      </c>
      <c r="C8" s="17">
        <v>3</v>
      </c>
      <c r="D8" s="17">
        <v>1</v>
      </c>
      <c r="E8" s="17">
        <v>2</v>
      </c>
      <c r="F8" s="17">
        <v>17</v>
      </c>
      <c r="G8" s="17">
        <v>15</v>
      </c>
      <c r="H8" s="17">
        <v>16</v>
      </c>
      <c r="I8" s="17">
        <v>14</v>
      </c>
      <c r="J8" s="17">
        <v>4</v>
      </c>
      <c r="K8" s="17">
        <v>13</v>
      </c>
      <c r="L8" s="17">
        <v>12</v>
      </c>
      <c r="M8" s="17">
        <v>11</v>
      </c>
      <c r="N8" s="17">
        <v>10</v>
      </c>
      <c r="O8" s="17">
        <v>5</v>
      </c>
      <c r="P8" s="17">
        <v>6</v>
      </c>
      <c r="Q8" s="17">
        <v>9</v>
      </c>
      <c r="R8" s="17">
        <v>7</v>
      </c>
      <c r="S8" s="18">
        <v>8</v>
      </c>
    </row>
    <row r="9" spans="1:19" ht="16" thickBot="1" x14ac:dyDescent="0.25">
      <c r="B9" s="40" t="s">
        <v>32</v>
      </c>
      <c r="C9" s="41">
        <v>1</v>
      </c>
      <c r="D9" s="41">
        <v>1</v>
      </c>
      <c r="E9" s="41">
        <v>1</v>
      </c>
      <c r="F9" s="41">
        <v>2</v>
      </c>
      <c r="G9" s="41">
        <v>2</v>
      </c>
      <c r="H9" s="41">
        <v>2</v>
      </c>
      <c r="I9" s="41">
        <v>2</v>
      </c>
      <c r="J9" s="41">
        <v>3</v>
      </c>
      <c r="K9" s="41">
        <v>4</v>
      </c>
      <c r="L9" s="41">
        <v>3</v>
      </c>
      <c r="M9" s="41">
        <v>4</v>
      </c>
      <c r="N9" s="41">
        <v>4</v>
      </c>
      <c r="O9" s="41">
        <v>3</v>
      </c>
      <c r="P9" s="41">
        <v>4</v>
      </c>
      <c r="Q9" s="41">
        <v>3</v>
      </c>
      <c r="R9" s="41">
        <v>3</v>
      </c>
      <c r="S9" s="4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FB1-B3B3-4D02-93B2-6BDBD886C996}">
  <dimension ref="A1:EN58"/>
  <sheetViews>
    <sheetView topLeftCell="A39" zoomScale="85" zoomScaleNormal="85" workbookViewId="0">
      <selection activeCell="A35" sqref="A35"/>
    </sheetView>
  </sheetViews>
  <sheetFormatPr baseColWidth="10" defaultColWidth="8.83203125" defaultRowHeight="15" x14ac:dyDescent="0.2"/>
  <cols>
    <col min="1" max="1" width="7.5" style="2" bestFit="1" customWidth="1"/>
    <col min="2" max="2" width="22.33203125" style="2" bestFit="1" customWidth="1"/>
    <col min="3" max="3" width="7.6640625" style="2" bestFit="1" customWidth="1"/>
    <col min="4" max="4" width="5.5" style="2" bestFit="1" customWidth="1"/>
    <col min="5" max="5" width="38.5" style="2" bestFit="1" customWidth="1"/>
    <col min="6" max="7" width="5.5" style="2" bestFit="1" customWidth="1"/>
    <col min="8" max="8" width="51.83203125" style="2" bestFit="1" customWidth="1"/>
    <col min="9" max="10" width="5.5" style="2" bestFit="1" customWidth="1"/>
    <col min="11" max="11" width="22.33203125" style="2" bestFit="1" customWidth="1"/>
    <col min="12" max="13" width="5.5" style="2" bestFit="1" customWidth="1"/>
    <col min="14" max="14" width="38.5" style="2" bestFit="1" customWidth="1"/>
    <col min="15" max="16" width="5.5" style="2" bestFit="1" customWidth="1"/>
    <col min="17" max="17" width="51.83203125" style="2" bestFit="1" customWidth="1"/>
    <col min="18" max="19" width="5.5" style="2" bestFit="1" customWidth="1"/>
    <col min="20" max="20" width="22.33203125" style="2" bestFit="1" customWidth="1"/>
    <col min="21" max="21" width="11.33203125" style="2" bestFit="1" customWidth="1"/>
    <col min="22" max="22" width="8.83203125" style="2"/>
    <col min="23" max="23" width="38.5" style="2" bestFit="1" customWidth="1"/>
    <col min="24" max="24" width="5.5" style="2" bestFit="1" customWidth="1"/>
    <col min="25" max="25" width="8.83203125" style="2"/>
    <col min="26" max="26" width="51.83203125" style="2" bestFit="1" customWidth="1"/>
    <col min="27" max="27" width="5.5" style="2" bestFit="1" customWidth="1"/>
    <col min="28" max="28" width="8.83203125" style="2"/>
    <col min="29" max="29" width="22.33203125" style="2" bestFit="1" customWidth="1"/>
    <col min="30" max="30" width="11.33203125" style="2" bestFit="1" customWidth="1"/>
    <col min="31" max="31" width="8.83203125" style="2"/>
    <col min="32" max="32" width="38.5" style="2" bestFit="1" customWidth="1"/>
    <col min="33" max="33" width="4.5" style="2" bestFit="1" customWidth="1"/>
    <col min="34" max="34" width="8.83203125" style="2"/>
    <col min="35" max="35" width="51.83203125" style="2" bestFit="1" customWidth="1"/>
    <col min="36" max="36" width="5.5" style="2" bestFit="1" customWidth="1"/>
    <col min="37" max="37" width="8.83203125" style="2"/>
    <col min="38" max="38" width="22.33203125" style="2" bestFit="1" customWidth="1"/>
    <col min="39" max="39" width="11.33203125" style="2" bestFit="1" customWidth="1"/>
    <col min="40" max="40" width="8.83203125" style="2"/>
    <col min="41" max="41" width="38.5" style="2" bestFit="1" customWidth="1"/>
    <col min="42" max="42" width="4.5" style="2" bestFit="1" customWidth="1"/>
    <col min="43" max="43" width="8.83203125" style="2"/>
    <col min="44" max="44" width="51.83203125" style="2" bestFit="1" customWidth="1"/>
    <col min="45" max="45" width="5.5" style="2" bestFit="1" customWidth="1"/>
    <col min="46" max="46" width="8.83203125" style="2"/>
    <col min="47" max="47" width="22.33203125" style="2" bestFit="1" customWidth="1"/>
    <col min="48" max="48" width="11.33203125" style="2" bestFit="1" customWidth="1"/>
    <col min="49" max="49" width="8.83203125" style="2"/>
    <col min="50" max="50" width="38.5" style="2" bestFit="1" customWidth="1"/>
    <col min="51" max="51" width="4.5" style="2" bestFit="1" customWidth="1"/>
    <col min="52" max="52" width="8.83203125" style="2"/>
    <col min="53" max="53" width="51.83203125" style="2" bestFit="1" customWidth="1"/>
    <col min="54" max="54" width="5.5" style="2" bestFit="1" customWidth="1"/>
    <col min="55" max="55" width="8.83203125" style="2"/>
    <col min="56" max="56" width="22.33203125" style="2" bestFit="1" customWidth="1"/>
    <col min="57" max="57" width="11.33203125" style="2" bestFit="1" customWidth="1"/>
    <col min="58" max="58" width="8.83203125" style="2"/>
    <col min="59" max="59" width="38.5" style="2" bestFit="1" customWidth="1"/>
    <col min="60" max="60" width="5.5" style="2" bestFit="1" customWidth="1"/>
    <col min="61" max="61" width="8.83203125" style="2"/>
    <col min="62" max="62" width="51.83203125" style="2" bestFit="1" customWidth="1"/>
    <col min="63" max="63" width="5.5" style="2" bestFit="1" customWidth="1"/>
    <col min="64" max="64" width="8.83203125" style="2"/>
    <col min="65" max="65" width="22.33203125" style="2" bestFit="1" customWidth="1"/>
    <col min="66" max="66" width="11.33203125" style="2" bestFit="1" customWidth="1"/>
    <col min="67" max="67" width="8.83203125" style="2"/>
    <col min="68" max="68" width="38.5" style="2" bestFit="1" customWidth="1"/>
    <col min="69" max="69" width="5.5" style="2" bestFit="1" customWidth="1"/>
    <col min="70" max="70" width="8.83203125" style="2"/>
    <col min="71" max="71" width="51.83203125" style="2" bestFit="1" customWidth="1"/>
    <col min="72" max="72" width="5.5" style="2" bestFit="1" customWidth="1"/>
    <col min="73" max="73" width="8.83203125" style="2"/>
    <col min="74" max="74" width="22.33203125" style="2" bestFit="1" customWidth="1"/>
    <col min="75" max="75" width="11.33203125" style="2" bestFit="1" customWidth="1"/>
    <col min="76" max="76" width="8.83203125" style="2"/>
    <col min="77" max="77" width="38.5" style="2" bestFit="1" customWidth="1"/>
    <col min="78" max="78" width="4.5" style="2" bestFit="1" customWidth="1"/>
    <col min="79" max="79" width="8.83203125" style="2"/>
    <col min="80" max="80" width="51.83203125" style="2" bestFit="1" customWidth="1"/>
    <col min="81" max="81" width="5.5" style="2" bestFit="1" customWidth="1"/>
    <col min="82" max="82" width="8.83203125" style="2"/>
    <col min="83" max="83" width="23.33203125" style="2" bestFit="1" customWidth="1"/>
    <col min="84" max="84" width="11.33203125" style="2" bestFit="1" customWidth="1"/>
    <col min="85" max="85" width="8.83203125" style="2"/>
    <col min="86" max="86" width="38.5" style="2" bestFit="1" customWidth="1"/>
    <col min="87" max="87" width="4.5" style="2" bestFit="1" customWidth="1"/>
    <col min="88" max="88" width="8.83203125" style="2"/>
    <col min="89" max="89" width="51.83203125" style="2" bestFit="1" customWidth="1"/>
    <col min="90" max="90" width="5.5" style="2" bestFit="1" customWidth="1"/>
    <col min="91" max="91" width="8.83203125" style="2"/>
    <col min="92" max="92" width="23.33203125" style="2" bestFit="1" customWidth="1"/>
    <col min="93" max="93" width="11.33203125" style="2" bestFit="1" customWidth="1"/>
    <col min="94" max="94" width="8.83203125" style="2"/>
    <col min="95" max="95" width="38.5" style="2" bestFit="1" customWidth="1"/>
    <col min="96" max="96" width="4.5" style="2" bestFit="1" customWidth="1"/>
    <col min="97" max="97" width="8.83203125" style="2"/>
    <col min="98" max="98" width="51.83203125" style="2" bestFit="1" customWidth="1"/>
    <col min="99" max="99" width="5.5" style="2" bestFit="1" customWidth="1"/>
    <col min="100" max="100" width="8.83203125" style="2"/>
    <col min="101" max="101" width="23.33203125" style="2" bestFit="1" customWidth="1"/>
    <col min="102" max="102" width="11.33203125" style="2" bestFit="1" customWidth="1"/>
    <col min="103" max="103" width="8.83203125" style="2"/>
    <col min="104" max="104" width="38.5" style="2" bestFit="1" customWidth="1"/>
    <col min="105" max="105" width="4.5" style="2" bestFit="1" customWidth="1"/>
    <col min="106" max="106" width="8.83203125" style="2"/>
    <col min="107" max="107" width="51.83203125" style="2" bestFit="1" customWidth="1"/>
    <col min="108" max="108" width="6.6640625" style="2" bestFit="1" customWidth="1"/>
    <col min="109" max="109" width="8.83203125" style="2"/>
    <col min="110" max="110" width="23.33203125" style="2" bestFit="1" customWidth="1"/>
    <col min="111" max="111" width="11.33203125" style="2" bestFit="1" customWidth="1"/>
    <col min="112" max="112" width="8.83203125" style="2"/>
    <col min="113" max="113" width="38.5" style="2" bestFit="1" customWidth="1"/>
    <col min="114" max="114" width="4.5" style="2" bestFit="1" customWidth="1"/>
    <col min="115" max="115" width="8.83203125" style="2"/>
    <col min="116" max="116" width="51.83203125" style="2" bestFit="1" customWidth="1"/>
    <col min="117" max="117" width="6.6640625" style="2" bestFit="1" customWidth="1"/>
    <col min="118" max="118" width="8.83203125" style="2"/>
    <col min="119" max="119" width="23.33203125" style="2" bestFit="1" customWidth="1"/>
    <col min="120" max="120" width="11.33203125" style="2" bestFit="1" customWidth="1"/>
    <col min="121" max="121" width="8.83203125" style="2"/>
    <col min="122" max="122" width="38.5" style="2" bestFit="1" customWidth="1"/>
    <col min="123" max="123" width="4.5" style="2" bestFit="1" customWidth="1"/>
    <col min="124" max="124" width="8.83203125" style="2"/>
    <col min="125" max="125" width="51.83203125" style="2" bestFit="1" customWidth="1"/>
    <col min="126" max="126" width="6.6640625" style="2" bestFit="1" customWidth="1"/>
    <col min="127" max="127" width="8.83203125" style="2"/>
    <col min="128" max="128" width="23.33203125" style="2" bestFit="1" customWidth="1"/>
    <col min="129" max="129" width="11.33203125" style="2" bestFit="1" customWidth="1"/>
    <col min="130" max="130" width="8.83203125" style="2"/>
    <col min="131" max="131" width="38.5" style="2" bestFit="1" customWidth="1"/>
    <col min="132" max="132" width="4.5" style="2" bestFit="1" customWidth="1"/>
    <col min="133" max="133" width="8.83203125" style="2"/>
    <col min="134" max="134" width="51.83203125" style="2" bestFit="1" customWidth="1"/>
    <col min="135" max="135" width="6.6640625" style="2" bestFit="1" customWidth="1"/>
    <col min="136" max="136" width="8.83203125" style="2"/>
    <col min="137" max="137" width="23.33203125" style="2" bestFit="1" customWidth="1"/>
    <col min="138" max="138" width="11.33203125" style="2" bestFit="1" customWidth="1"/>
    <col min="139" max="139" width="8.83203125" style="2"/>
    <col min="140" max="140" width="38.5" style="2" bestFit="1" customWidth="1"/>
    <col min="141" max="141" width="4.5" style="2" bestFit="1" customWidth="1"/>
    <col min="142" max="142" width="8.83203125" style="2"/>
    <col min="143" max="143" width="51.83203125" style="2" bestFit="1" customWidth="1"/>
    <col min="144" max="144" width="6.6640625" style="2" bestFit="1" customWidth="1"/>
    <col min="145" max="16384" width="8.83203125" style="2"/>
  </cols>
  <sheetData>
    <row r="1" spans="1:19" ht="16" x14ac:dyDescent="0.2">
      <c r="A1" s="1" t="s">
        <v>2</v>
      </c>
    </row>
    <row r="2" spans="1:19" x14ac:dyDescent="0.2">
      <c r="B2" s="35" t="s">
        <v>28</v>
      </c>
      <c r="C2" s="52">
        <v>1</v>
      </c>
      <c r="D2" s="52">
        <v>2</v>
      </c>
      <c r="E2" s="52">
        <v>3</v>
      </c>
      <c r="F2" s="52">
        <v>4</v>
      </c>
      <c r="G2" s="52">
        <v>5</v>
      </c>
      <c r="H2" s="52">
        <v>6</v>
      </c>
      <c r="I2" s="52">
        <v>7</v>
      </c>
      <c r="J2" s="52">
        <v>8</v>
      </c>
      <c r="K2" s="52">
        <v>9</v>
      </c>
      <c r="L2" s="52">
        <v>10</v>
      </c>
      <c r="M2" s="52">
        <v>11</v>
      </c>
      <c r="N2" s="52">
        <v>12</v>
      </c>
      <c r="O2" s="52">
        <v>13</v>
      </c>
      <c r="P2" s="52">
        <v>14</v>
      </c>
      <c r="Q2" s="52">
        <v>15</v>
      </c>
      <c r="R2" s="52">
        <v>16</v>
      </c>
      <c r="S2" s="53">
        <v>17</v>
      </c>
    </row>
    <row r="3" spans="1:19" ht="16" x14ac:dyDescent="0.2">
      <c r="B3" s="6" t="s">
        <v>5</v>
      </c>
      <c r="C3" s="13">
        <v>2</v>
      </c>
      <c r="D3" s="13">
        <v>2</v>
      </c>
      <c r="E3" s="13">
        <v>2</v>
      </c>
      <c r="F3" s="13">
        <v>1</v>
      </c>
      <c r="G3" s="13">
        <v>1</v>
      </c>
      <c r="H3" s="13">
        <v>1</v>
      </c>
      <c r="I3" s="13">
        <v>1</v>
      </c>
      <c r="J3" s="13">
        <v>2</v>
      </c>
      <c r="K3" s="13">
        <v>1</v>
      </c>
      <c r="L3" s="13">
        <v>1</v>
      </c>
      <c r="M3" s="13">
        <v>1</v>
      </c>
      <c r="N3" s="13">
        <v>1</v>
      </c>
      <c r="O3" s="13">
        <v>2</v>
      </c>
      <c r="P3" s="13">
        <v>2</v>
      </c>
      <c r="Q3" s="13">
        <v>1</v>
      </c>
      <c r="R3" s="13">
        <v>2</v>
      </c>
      <c r="S3" s="7">
        <v>1</v>
      </c>
    </row>
    <row r="4" spans="1:19" ht="16" x14ac:dyDescent="0.2">
      <c r="B4" s="6" t="s">
        <v>32</v>
      </c>
      <c r="C4" s="13">
        <v>1</v>
      </c>
      <c r="D4" s="13">
        <v>1</v>
      </c>
      <c r="E4" s="13">
        <v>1</v>
      </c>
      <c r="F4" s="13">
        <v>2</v>
      </c>
      <c r="G4" s="13">
        <v>2</v>
      </c>
      <c r="H4" s="13">
        <v>2</v>
      </c>
      <c r="I4" s="13">
        <v>2</v>
      </c>
      <c r="J4" s="13">
        <v>3</v>
      </c>
      <c r="K4" s="13">
        <v>4</v>
      </c>
      <c r="L4" s="13">
        <v>3</v>
      </c>
      <c r="M4" s="13">
        <v>4</v>
      </c>
      <c r="N4" s="13">
        <v>4</v>
      </c>
      <c r="O4" s="13">
        <v>3</v>
      </c>
      <c r="P4" s="13">
        <v>4</v>
      </c>
      <c r="Q4" s="13">
        <v>3</v>
      </c>
      <c r="R4" s="13">
        <v>3</v>
      </c>
      <c r="S4" s="7">
        <v>4</v>
      </c>
    </row>
    <row r="5" spans="1:19" ht="16" x14ac:dyDescent="0.2">
      <c r="B5" s="6" t="s">
        <v>4</v>
      </c>
      <c r="C5" s="13">
        <v>3</v>
      </c>
      <c r="D5" s="13">
        <v>1</v>
      </c>
      <c r="E5" s="13">
        <v>2</v>
      </c>
      <c r="F5" s="13">
        <v>17</v>
      </c>
      <c r="G5" s="13">
        <v>15</v>
      </c>
      <c r="H5" s="13">
        <v>16</v>
      </c>
      <c r="I5" s="13">
        <v>14</v>
      </c>
      <c r="J5" s="13">
        <v>4</v>
      </c>
      <c r="K5" s="13">
        <v>13</v>
      </c>
      <c r="L5" s="13">
        <v>12</v>
      </c>
      <c r="M5" s="13">
        <v>11</v>
      </c>
      <c r="N5" s="13">
        <v>10</v>
      </c>
      <c r="O5" s="13">
        <v>5</v>
      </c>
      <c r="P5" s="13">
        <v>6</v>
      </c>
      <c r="Q5" s="13">
        <v>9</v>
      </c>
      <c r="R5" s="13">
        <v>7</v>
      </c>
      <c r="S5" s="7">
        <v>8</v>
      </c>
    </row>
    <row r="7" spans="1:19" ht="16" x14ac:dyDescent="0.2">
      <c r="B7" s="45" t="s">
        <v>31</v>
      </c>
      <c r="C7" s="4">
        <v>0</v>
      </c>
      <c r="D7" s="4">
        <v>54.2</v>
      </c>
      <c r="E7" s="4">
        <v>63.9</v>
      </c>
      <c r="F7" s="4">
        <v>35.700000000000003</v>
      </c>
      <c r="G7" s="4">
        <v>33.799999999999997</v>
      </c>
      <c r="H7" s="4">
        <v>42</v>
      </c>
      <c r="I7" s="4">
        <v>51.6</v>
      </c>
      <c r="J7" s="4">
        <v>48.3</v>
      </c>
      <c r="K7" s="4">
        <v>60.9</v>
      </c>
      <c r="L7" s="4">
        <v>45.6</v>
      </c>
      <c r="M7" s="4">
        <v>41.9</v>
      </c>
      <c r="N7" s="4">
        <v>151.80000000000001</v>
      </c>
      <c r="O7" s="4">
        <v>118.9</v>
      </c>
      <c r="P7" s="4">
        <v>143</v>
      </c>
      <c r="Q7" s="4">
        <v>141.69999999999999</v>
      </c>
      <c r="R7" s="4">
        <v>179.2</v>
      </c>
      <c r="S7" s="5">
        <v>177.4</v>
      </c>
    </row>
    <row r="8" spans="1:19" x14ac:dyDescent="0.2">
      <c r="B8" s="8"/>
      <c r="C8" s="2">
        <v>54.2</v>
      </c>
      <c r="D8" s="2">
        <v>0</v>
      </c>
      <c r="E8" s="2">
        <v>43.9</v>
      </c>
      <c r="F8" s="2">
        <v>45.9</v>
      </c>
      <c r="G8" s="2">
        <v>45.1</v>
      </c>
      <c r="H8" s="2">
        <v>43.9</v>
      </c>
      <c r="I8" s="2">
        <v>41.1</v>
      </c>
      <c r="J8" s="2">
        <v>38.9</v>
      </c>
      <c r="K8" s="2">
        <v>50.3</v>
      </c>
      <c r="L8" s="2">
        <v>38.5</v>
      </c>
      <c r="M8" s="2">
        <v>76.8</v>
      </c>
      <c r="N8" s="2">
        <v>136.80000000000001</v>
      </c>
      <c r="O8" s="2">
        <v>111.4</v>
      </c>
      <c r="P8" s="2">
        <v>132.69999999999999</v>
      </c>
      <c r="Q8" s="2">
        <v>138.5</v>
      </c>
      <c r="R8" s="2">
        <v>168.4</v>
      </c>
      <c r="S8" s="9">
        <v>172.1</v>
      </c>
    </row>
    <row r="9" spans="1:19" x14ac:dyDescent="0.2">
      <c r="B9" s="8"/>
      <c r="C9" s="2">
        <v>63.9</v>
      </c>
      <c r="D9" s="2">
        <v>43.9</v>
      </c>
      <c r="E9" s="2">
        <v>0</v>
      </c>
      <c r="F9" s="2">
        <v>48.2</v>
      </c>
      <c r="G9" s="2">
        <v>50.1</v>
      </c>
      <c r="H9" s="2">
        <v>41.8</v>
      </c>
      <c r="I9" s="2">
        <v>42.3</v>
      </c>
      <c r="J9" s="2">
        <v>56.1</v>
      </c>
      <c r="K9" s="2">
        <v>67.8</v>
      </c>
      <c r="L9" s="2">
        <v>38.299999999999997</v>
      </c>
      <c r="M9" s="2">
        <v>100.7</v>
      </c>
      <c r="N9" s="2">
        <v>160.69999999999999</v>
      </c>
      <c r="O9" s="2">
        <v>125.7</v>
      </c>
      <c r="P9" s="2">
        <v>156.6</v>
      </c>
      <c r="Q9" s="2">
        <v>162.4</v>
      </c>
      <c r="R9" s="2">
        <v>192.3</v>
      </c>
      <c r="S9" s="9">
        <v>196</v>
      </c>
    </row>
    <row r="10" spans="1:19" x14ac:dyDescent="0.2">
      <c r="B10" s="8"/>
      <c r="C10" s="2">
        <v>35.700000000000003</v>
      </c>
      <c r="D10" s="2">
        <v>45.9</v>
      </c>
      <c r="E10" s="2">
        <v>48.2</v>
      </c>
      <c r="F10" s="2">
        <v>0</v>
      </c>
      <c r="G10" s="2">
        <v>24.9</v>
      </c>
      <c r="H10" s="2">
        <v>26.4</v>
      </c>
      <c r="I10" s="2">
        <v>36.299999999999997</v>
      </c>
      <c r="J10" s="2">
        <v>47.4</v>
      </c>
      <c r="K10" s="2">
        <v>59.6</v>
      </c>
      <c r="L10" s="2">
        <v>30</v>
      </c>
      <c r="M10" s="2">
        <v>93</v>
      </c>
      <c r="N10" s="2">
        <v>156.9</v>
      </c>
      <c r="O10" s="2">
        <v>116.6</v>
      </c>
      <c r="P10" s="2">
        <v>149.80000000000001</v>
      </c>
      <c r="Q10" s="2">
        <v>151</v>
      </c>
      <c r="R10" s="2">
        <v>185.8</v>
      </c>
      <c r="S10" s="9">
        <v>186</v>
      </c>
    </row>
    <row r="11" spans="1:19" x14ac:dyDescent="0.2">
      <c r="B11" s="8"/>
      <c r="C11" s="2">
        <v>33.799999999999997</v>
      </c>
      <c r="D11" s="2">
        <v>45.1</v>
      </c>
      <c r="E11" s="2">
        <v>50.1</v>
      </c>
      <c r="F11" s="2">
        <v>24.9</v>
      </c>
      <c r="G11" s="2">
        <v>0</v>
      </c>
      <c r="H11" s="2">
        <v>30.2</v>
      </c>
      <c r="I11" s="2">
        <v>37.9</v>
      </c>
      <c r="J11" s="2">
        <v>44.2</v>
      </c>
      <c r="K11" s="2">
        <v>56.4</v>
      </c>
      <c r="L11" s="2">
        <v>31.8</v>
      </c>
      <c r="M11" s="2">
        <v>89.3</v>
      </c>
      <c r="N11" s="2">
        <v>144.1</v>
      </c>
      <c r="O11" s="2">
        <v>102.5</v>
      </c>
      <c r="P11" s="2">
        <v>136</v>
      </c>
      <c r="Q11" s="2">
        <v>136.69999999999999</v>
      </c>
      <c r="R11" s="2">
        <v>172.1</v>
      </c>
      <c r="S11" s="9">
        <v>171.7</v>
      </c>
    </row>
    <row r="12" spans="1:19" x14ac:dyDescent="0.2">
      <c r="B12" s="8"/>
      <c r="C12" s="2">
        <v>42</v>
      </c>
      <c r="D12" s="2">
        <v>43.9</v>
      </c>
      <c r="E12" s="2">
        <v>41.8</v>
      </c>
      <c r="F12" s="2">
        <v>26.4</v>
      </c>
      <c r="G12" s="2">
        <v>30.2</v>
      </c>
      <c r="H12" s="2">
        <v>0</v>
      </c>
      <c r="I12" s="2">
        <v>34.6</v>
      </c>
      <c r="J12" s="2">
        <v>49.9</v>
      </c>
      <c r="K12" s="2">
        <v>61.9</v>
      </c>
      <c r="L12" s="2">
        <v>27.2</v>
      </c>
      <c r="M12" s="2">
        <v>95.3</v>
      </c>
      <c r="N12" s="2">
        <v>158.4</v>
      </c>
      <c r="O12" s="2">
        <v>119.7</v>
      </c>
      <c r="P12" s="2">
        <v>152.30000000000001</v>
      </c>
      <c r="Q12" s="2">
        <v>154.9</v>
      </c>
      <c r="R12" s="2">
        <v>188.2</v>
      </c>
      <c r="S12" s="9">
        <v>189.4</v>
      </c>
    </row>
    <row r="13" spans="1:19" x14ac:dyDescent="0.2">
      <c r="B13" s="8"/>
      <c r="C13" s="2">
        <v>51.6</v>
      </c>
      <c r="D13" s="2">
        <v>41.1</v>
      </c>
      <c r="E13" s="2">
        <v>42.3</v>
      </c>
      <c r="F13" s="2">
        <v>36.299999999999997</v>
      </c>
      <c r="G13" s="2">
        <v>37.9</v>
      </c>
      <c r="H13" s="2">
        <v>34.6</v>
      </c>
      <c r="I13" s="2">
        <v>0</v>
      </c>
      <c r="J13" s="2">
        <v>35.6</v>
      </c>
      <c r="K13" s="2">
        <v>47.6</v>
      </c>
      <c r="L13" s="2">
        <v>27.6</v>
      </c>
      <c r="M13" s="2">
        <v>81.099999999999994</v>
      </c>
      <c r="N13" s="2">
        <v>144.9</v>
      </c>
      <c r="O13" s="2">
        <v>105.4</v>
      </c>
      <c r="P13" s="2">
        <v>138.1</v>
      </c>
      <c r="Q13" s="2">
        <v>144.80000000000001</v>
      </c>
      <c r="R13" s="2">
        <v>174.1</v>
      </c>
      <c r="S13" s="9">
        <v>175.2</v>
      </c>
    </row>
    <row r="14" spans="1:19" x14ac:dyDescent="0.2">
      <c r="B14" s="8"/>
      <c r="C14" s="2">
        <v>48.3</v>
      </c>
      <c r="D14" s="2">
        <v>38.9</v>
      </c>
      <c r="E14" s="2">
        <v>56.1</v>
      </c>
      <c r="F14" s="2">
        <v>47.4</v>
      </c>
      <c r="G14" s="2">
        <v>44.2</v>
      </c>
      <c r="H14" s="2">
        <v>49.9</v>
      </c>
      <c r="I14" s="2">
        <v>35.6</v>
      </c>
      <c r="J14" s="2">
        <v>0</v>
      </c>
      <c r="K14" s="2">
        <v>32.6</v>
      </c>
      <c r="L14" s="2">
        <v>43.2</v>
      </c>
      <c r="M14" s="2">
        <v>65.599999999999994</v>
      </c>
      <c r="N14" s="2">
        <v>129.5</v>
      </c>
      <c r="O14" s="2">
        <v>89.8</v>
      </c>
      <c r="P14" s="2">
        <v>122.6</v>
      </c>
      <c r="Q14" s="2">
        <v>125</v>
      </c>
      <c r="R14" s="2">
        <v>158.5</v>
      </c>
      <c r="S14" s="9">
        <v>159.4</v>
      </c>
    </row>
    <row r="15" spans="1:19" x14ac:dyDescent="0.2">
      <c r="B15" s="8"/>
      <c r="C15" s="2">
        <v>60.9</v>
      </c>
      <c r="D15" s="2">
        <v>50.3</v>
      </c>
      <c r="E15" s="2">
        <v>67.8</v>
      </c>
      <c r="F15" s="2">
        <v>59.6</v>
      </c>
      <c r="G15" s="2">
        <v>56.4</v>
      </c>
      <c r="H15" s="2">
        <v>61.9</v>
      </c>
      <c r="I15" s="2">
        <v>47.6</v>
      </c>
      <c r="J15" s="2">
        <v>32.6</v>
      </c>
      <c r="K15" s="2">
        <v>0</v>
      </c>
      <c r="L15" s="2">
        <v>55.2</v>
      </c>
      <c r="M15" s="2">
        <v>53.6</v>
      </c>
      <c r="N15" s="2">
        <v>116</v>
      </c>
      <c r="O15" s="2">
        <v>77.900000000000006</v>
      </c>
      <c r="P15" s="2">
        <v>110.5</v>
      </c>
      <c r="Q15" s="2">
        <v>113.9</v>
      </c>
      <c r="R15" s="2">
        <v>146.5</v>
      </c>
      <c r="S15" s="9">
        <v>147.9</v>
      </c>
    </row>
    <row r="16" spans="1:19" x14ac:dyDescent="0.2">
      <c r="B16" s="8"/>
      <c r="C16" s="2">
        <v>45.6</v>
      </c>
      <c r="D16" s="2">
        <v>38.5</v>
      </c>
      <c r="E16" s="2">
        <v>38.299999999999997</v>
      </c>
      <c r="F16" s="2">
        <v>30</v>
      </c>
      <c r="G16" s="2">
        <v>31.8</v>
      </c>
      <c r="H16" s="2">
        <v>27.2</v>
      </c>
      <c r="I16" s="2">
        <v>27.6</v>
      </c>
      <c r="J16" s="2">
        <v>43.2</v>
      </c>
      <c r="K16" s="2">
        <v>55.2</v>
      </c>
      <c r="L16" s="2">
        <v>0</v>
      </c>
      <c r="M16" s="2">
        <v>88.7</v>
      </c>
      <c r="N16" s="2">
        <v>152.19999999999999</v>
      </c>
      <c r="O16" s="2">
        <v>113</v>
      </c>
      <c r="P16" s="2">
        <v>145.69999999999999</v>
      </c>
      <c r="Q16" s="2">
        <v>148.1</v>
      </c>
      <c r="R16" s="2">
        <v>181.7</v>
      </c>
      <c r="S16" s="9">
        <v>182.6</v>
      </c>
    </row>
    <row r="17" spans="2:19" x14ac:dyDescent="0.2">
      <c r="B17" s="8"/>
      <c r="C17" s="2">
        <v>41.9</v>
      </c>
      <c r="D17" s="2">
        <v>76.8</v>
      </c>
      <c r="E17" s="2">
        <v>100.7</v>
      </c>
      <c r="F17" s="2">
        <v>93</v>
      </c>
      <c r="G17" s="2">
        <v>89.3</v>
      </c>
      <c r="H17" s="2">
        <v>95.3</v>
      </c>
      <c r="I17" s="2">
        <v>81.099999999999994</v>
      </c>
      <c r="J17" s="2">
        <v>65.599999999999994</v>
      </c>
      <c r="K17" s="2">
        <v>53.6</v>
      </c>
      <c r="L17" s="2">
        <v>88.7</v>
      </c>
      <c r="M17" s="2">
        <v>0</v>
      </c>
      <c r="N17" s="2">
        <v>84.8</v>
      </c>
      <c r="O17" s="2">
        <v>45</v>
      </c>
      <c r="P17" s="2">
        <v>77</v>
      </c>
      <c r="Q17" s="2">
        <v>81.900000000000006</v>
      </c>
      <c r="R17" s="2">
        <v>113</v>
      </c>
      <c r="S17" s="9">
        <v>115.2</v>
      </c>
    </row>
    <row r="18" spans="2:19" x14ac:dyDescent="0.2">
      <c r="B18" s="8"/>
      <c r="C18" s="2">
        <v>151.80000000000001</v>
      </c>
      <c r="D18" s="2">
        <v>136.80000000000001</v>
      </c>
      <c r="E18" s="2">
        <v>160.69999999999999</v>
      </c>
      <c r="F18" s="2">
        <v>156.9</v>
      </c>
      <c r="G18" s="2">
        <v>144.1</v>
      </c>
      <c r="H18" s="2">
        <v>158.4</v>
      </c>
      <c r="I18" s="2">
        <v>144.9</v>
      </c>
      <c r="J18" s="2">
        <v>129.5</v>
      </c>
      <c r="K18" s="2">
        <v>116</v>
      </c>
      <c r="L18" s="2">
        <v>152.19999999999999</v>
      </c>
      <c r="M18" s="2">
        <v>84.8</v>
      </c>
      <c r="N18" s="2">
        <v>0</v>
      </c>
      <c r="O18" s="2">
        <v>88.1</v>
      </c>
      <c r="P18" s="2">
        <v>54.4</v>
      </c>
      <c r="Q18" s="2">
        <v>69.5</v>
      </c>
      <c r="R18" s="2">
        <v>53.8</v>
      </c>
      <c r="S18" s="9">
        <v>64.400000000000006</v>
      </c>
    </row>
    <row r="19" spans="2:19" x14ac:dyDescent="0.2">
      <c r="B19" s="8"/>
      <c r="C19" s="2">
        <v>118.9</v>
      </c>
      <c r="D19" s="2">
        <v>111.4</v>
      </c>
      <c r="E19" s="2">
        <v>125.7</v>
      </c>
      <c r="F19" s="2">
        <v>116.6</v>
      </c>
      <c r="G19" s="2">
        <v>102.5</v>
      </c>
      <c r="H19" s="2">
        <v>119.7</v>
      </c>
      <c r="I19" s="2">
        <v>105.4</v>
      </c>
      <c r="J19" s="2">
        <v>89.8</v>
      </c>
      <c r="K19" s="2">
        <v>77.900000000000006</v>
      </c>
      <c r="L19" s="2">
        <v>113</v>
      </c>
      <c r="M19" s="2">
        <v>45</v>
      </c>
      <c r="N19" s="2">
        <v>88.1</v>
      </c>
      <c r="O19" s="2">
        <v>0</v>
      </c>
      <c r="P19" s="2">
        <v>34.4</v>
      </c>
      <c r="Q19" s="2">
        <v>37.9</v>
      </c>
      <c r="R19" s="2">
        <v>68.8</v>
      </c>
      <c r="S19" s="9">
        <v>68.3</v>
      </c>
    </row>
    <row r="20" spans="2:19" x14ac:dyDescent="0.2">
      <c r="B20" s="8"/>
      <c r="C20" s="2">
        <v>143</v>
      </c>
      <c r="D20" s="2">
        <v>132.69999999999999</v>
      </c>
      <c r="E20" s="2">
        <v>156.6</v>
      </c>
      <c r="F20" s="2">
        <v>149.80000000000001</v>
      </c>
      <c r="G20" s="2">
        <v>136</v>
      </c>
      <c r="H20" s="2">
        <v>152.30000000000001</v>
      </c>
      <c r="I20" s="2">
        <v>138.1</v>
      </c>
      <c r="J20" s="2">
        <v>122.6</v>
      </c>
      <c r="K20" s="2">
        <v>110.5</v>
      </c>
      <c r="L20" s="2">
        <v>145.69999999999999</v>
      </c>
      <c r="M20" s="2">
        <v>77</v>
      </c>
      <c r="N20" s="2">
        <v>54.4</v>
      </c>
      <c r="O20" s="2">
        <v>34.4</v>
      </c>
      <c r="P20" s="2">
        <v>0</v>
      </c>
      <c r="Q20" s="2">
        <v>40.1</v>
      </c>
      <c r="R20" s="2">
        <v>55.9</v>
      </c>
      <c r="S20" s="9">
        <v>58.5</v>
      </c>
    </row>
    <row r="21" spans="2:19" x14ac:dyDescent="0.2">
      <c r="B21" s="8"/>
      <c r="C21" s="2">
        <v>141.69999999999999</v>
      </c>
      <c r="D21" s="2">
        <v>138.5</v>
      </c>
      <c r="E21" s="2">
        <v>162.4</v>
      </c>
      <c r="F21" s="2">
        <v>151</v>
      </c>
      <c r="G21" s="2">
        <v>136.69999999999999</v>
      </c>
      <c r="H21" s="2">
        <v>154.9</v>
      </c>
      <c r="I21" s="2">
        <v>144.80000000000001</v>
      </c>
      <c r="J21" s="2">
        <v>125</v>
      </c>
      <c r="K21" s="2">
        <v>113.9</v>
      </c>
      <c r="L21" s="2">
        <v>148.1</v>
      </c>
      <c r="M21" s="2">
        <v>81.900000000000006</v>
      </c>
      <c r="N21" s="2">
        <v>69.5</v>
      </c>
      <c r="O21" s="2">
        <v>37.9</v>
      </c>
      <c r="P21" s="2">
        <v>40.1</v>
      </c>
      <c r="Q21" s="2">
        <v>0</v>
      </c>
      <c r="R21" s="2">
        <v>61.9</v>
      </c>
      <c r="S21" s="9">
        <v>56.4</v>
      </c>
    </row>
    <row r="22" spans="2:19" x14ac:dyDescent="0.2">
      <c r="B22" s="8"/>
      <c r="C22" s="2">
        <v>179.2</v>
      </c>
      <c r="D22" s="2">
        <v>168.4</v>
      </c>
      <c r="E22" s="2">
        <v>192.3</v>
      </c>
      <c r="F22" s="2">
        <v>185.8</v>
      </c>
      <c r="G22" s="2">
        <v>172.1</v>
      </c>
      <c r="H22" s="2">
        <v>188.2</v>
      </c>
      <c r="I22" s="2">
        <v>174.1</v>
      </c>
      <c r="J22" s="2">
        <v>158.5</v>
      </c>
      <c r="K22" s="2">
        <v>146.5</v>
      </c>
      <c r="L22" s="2">
        <v>181.7</v>
      </c>
      <c r="M22" s="2">
        <v>113</v>
      </c>
      <c r="N22" s="2">
        <v>53.8</v>
      </c>
      <c r="O22" s="2">
        <v>68.8</v>
      </c>
      <c r="P22" s="2">
        <v>55.9</v>
      </c>
      <c r="Q22" s="2">
        <v>61.9</v>
      </c>
      <c r="R22" s="2">
        <v>0</v>
      </c>
      <c r="S22" s="9">
        <v>35.299999999999997</v>
      </c>
    </row>
    <row r="23" spans="2:19" x14ac:dyDescent="0.2">
      <c r="B23" s="10"/>
      <c r="C23" s="11">
        <v>177.4</v>
      </c>
      <c r="D23" s="11">
        <v>172.1</v>
      </c>
      <c r="E23" s="11">
        <v>196</v>
      </c>
      <c r="F23" s="11">
        <v>186</v>
      </c>
      <c r="G23" s="11">
        <v>171.7</v>
      </c>
      <c r="H23" s="11">
        <v>189.4</v>
      </c>
      <c r="I23" s="11">
        <v>175.2</v>
      </c>
      <c r="J23" s="11">
        <v>159.4</v>
      </c>
      <c r="K23" s="11">
        <v>147.9</v>
      </c>
      <c r="L23" s="11">
        <v>182.6</v>
      </c>
      <c r="M23" s="11">
        <v>115.2</v>
      </c>
      <c r="N23" s="11">
        <v>64.400000000000006</v>
      </c>
      <c r="O23" s="11">
        <v>68.3</v>
      </c>
      <c r="P23" s="11">
        <v>58.5</v>
      </c>
      <c r="Q23" s="11">
        <v>56.4</v>
      </c>
      <c r="R23" s="11">
        <v>35.299999999999997</v>
      </c>
      <c r="S23" s="12">
        <v>0</v>
      </c>
    </row>
    <row r="25" spans="2:19" ht="16" x14ac:dyDescent="0.2">
      <c r="B25" s="45" t="s">
        <v>41</v>
      </c>
      <c r="C25" s="4">
        <v>0</v>
      </c>
      <c r="D25" s="5">
        <v>1</v>
      </c>
    </row>
    <row r="26" spans="2:19" x14ac:dyDescent="0.2">
      <c r="B26" s="10"/>
      <c r="C26" s="11">
        <v>1</v>
      </c>
      <c r="D26" s="12">
        <v>0</v>
      </c>
    </row>
    <row r="28" spans="2:19" ht="16" x14ac:dyDescent="0.2">
      <c r="B28" s="45" t="s">
        <v>42</v>
      </c>
      <c r="C28" s="4">
        <v>0</v>
      </c>
      <c r="D28" s="4">
        <v>1</v>
      </c>
      <c r="E28" s="4">
        <v>2</v>
      </c>
      <c r="F28" s="5">
        <v>2</v>
      </c>
    </row>
    <row r="29" spans="2:19" x14ac:dyDescent="0.2">
      <c r="B29" s="8"/>
      <c r="C29" s="2">
        <v>1</v>
      </c>
      <c r="D29" s="2">
        <v>0</v>
      </c>
      <c r="E29" s="2">
        <v>2</v>
      </c>
      <c r="F29" s="9">
        <v>2</v>
      </c>
    </row>
    <row r="30" spans="2:19" x14ac:dyDescent="0.2">
      <c r="B30" s="8"/>
      <c r="C30" s="2">
        <v>2</v>
      </c>
      <c r="D30" s="2">
        <v>2</v>
      </c>
      <c r="E30" s="2">
        <v>0</v>
      </c>
      <c r="F30" s="9">
        <v>1</v>
      </c>
    </row>
    <row r="31" spans="2:19" x14ac:dyDescent="0.2">
      <c r="B31" s="10"/>
      <c r="C31" s="11">
        <v>2</v>
      </c>
      <c r="D31" s="11">
        <v>2</v>
      </c>
      <c r="E31" s="11">
        <v>1</v>
      </c>
      <c r="F31" s="12">
        <v>0</v>
      </c>
    </row>
    <row r="33" spans="1:144" ht="16" x14ac:dyDescent="0.2">
      <c r="B33" s="6" t="s">
        <v>43</v>
      </c>
      <c r="C33" s="7">
        <v>17</v>
      </c>
    </row>
    <row r="35" spans="1:144" ht="16" x14ac:dyDescent="0.2">
      <c r="A35" s="1" t="s">
        <v>3</v>
      </c>
      <c r="B35" s="6" t="s">
        <v>33</v>
      </c>
      <c r="C35" s="7">
        <v>0</v>
      </c>
    </row>
    <row r="36" spans="1:144" ht="16" x14ac:dyDescent="0.2">
      <c r="B36" s="6" t="s">
        <v>34</v>
      </c>
      <c r="C36" s="7">
        <v>0</v>
      </c>
    </row>
    <row r="37" spans="1:144" ht="16" x14ac:dyDescent="0.2">
      <c r="B37" s="6" t="s">
        <v>35</v>
      </c>
      <c r="C37" s="7">
        <v>0</v>
      </c>
    </row>
    <row r="38" spans="1:144" ht="16" thickBot="1" x14ac:dyDescent="0.25"/>
    <row r="39" spans="1:144" ht="16" x14ac:dyDescent="0.2">
      <c r="B39" s="24" t="s">
        <v>36</v>
      </c>
      <c r="C39" s="17"/>
      <c r="D39" s="17"/>
      <c r="E39" s="17"/>
      <c r="F39" s="17"/>
      <c r="G39" s="17"/>
      <c r="H39" s="17"/>
      <c r="I39" s="18"/>
      <c r="K39" s="24" t="s">
        <v>54</v>
      </c>
      <c r="L39" s="17"/>
      <c r="M39" s="17"/>
      <c r="N39" s="17"/>
      <c r="O39" s="17"/>
      <c r="P39" s="17"/>
      <c r="Q39" s="17"/>
      <c r="R39" s="18"/>
      <c r="T39" s="24" t="s">
        <v>55</v>
      </c>
      <c r="U39" s="17"/>
      <c r="V39" s="17"/>
      <c r="W39" s="17"/>
      <c r="X39" s="17"/>
      <c r="Y39" s="17"/>
      <c r="Z39" s="17"/>
      <c r="AA39" s="18"/>
      <c r="AC39" s="24" t="s">
        <v>56</v>
      </c>
      <c r="AD39" s="17"/>
      <c r="AE39" s="17"/>
      <c r="AF39" s="17"/>
      <c r="AG39" s="17"/>
      <c r="AH39" s="17"/>
      <c r="AI39" s="17"/>
      <c r="AJ39" s="18"/>
      <c r="AL39" s="24" t="s">
        <v>57</v>
      </c>
      <c r="AM39" s="17"/>
      <c r="AN39" s="17"/>
      <c r="AO39" s="17"/>
      <c r="AP39" s="17"/>
      <c r="AQ39" s="17"/>
      <c r="AR39" s="17"/>
      <c r="AS39" s="18"/>
      <c r="AU39" s="24" t="s">
        <v>60</v>
      </c>
      <c r="AV39" s="17"/>
      <c r="AW39" s="17"/>
      <c r="AX39" s="17"/>
      <c r="AY39" s="17"/>
      <c r="AZ39" s="17"/>
      <c r="BA39" s="17"/>
      <c r="BB39" s="18"/>
      <c r="BD39" s="24" t="s">
        <v>61</v>
      </c>
      <c r="BE39" s="17"/>
      <c r="BF39" s="17"/>
      <c r="BG39" s="17"/>
      <c r="BH39" s="17"/>
      <c r="BI39" s="17"/>
      <c r="BJ39" s="17"/>
      <c r="BK39" s="18"/>
      <c r="BM39" s="24" t="s">
        <v>62</v>
      </c>
      <c r="BN39" s="17"/>
      <c r="BO39" s="17"/>
      <c r="BP39" s="17"/>
      <c r="BQ39" s="17"/>
      <c r="BR39" s="17"/>
      <c r="BS39" s="17"/>
      <c r="BT39" s="18"/>
      <c r="BV39" s="24" t="s">
        <v>63</v>
      </c>
      <c r="BW39" s="17"/>
      <c r="BX39" s="17"/>
      <c r="BY39" s="17"/>
      <c r="BZ39" s="17"/>
      <c r="CA39" s="17"/>
      <c r="CB39" s="17"/>
      <c r="CC39" s="18"/>
      <c r="CE39" s="24" t="s">
        <v>64</v>
      </c>
      <c r="CF39" s="17"/>
      <c r="CG39" s="17"/>
      <c r="CH39" s="17"/>
      <c r="CI39" s="17"/>
      <c r="CJ39" s="17"/>
      <c r="CK39" s="17"/>
      <c r="CL39" s="18"/>
      <c r="CN39" s="24" t="s">
        <v>65</v>
      </c>
      <c r="CO39" s="17"/>
      <c r="CP39" s="17"/>
      <c r="CQ39" s="17"/>
      <c r="CR39" s="17"/>
      <c r="CS39" s="17"/>
      <c r="CT39" s="17"/>
      <c r="CU39" s="18"/>
      <c r="CW39" s="24" t="s">
        <v>66</v>
      </c>
      <c r="CX39" s="17"/>
      <c r="CY39" s="17"/>
      <c r="CZ39" s="17"/>
      <c r="DA39" s="17"/>
      <c r="DB39" s="17"/>
      <c r="DC39" s="17"/>
      <c r="DD39" s="18"/>
      <c r="DF39" s="24" t="s">
        <v>67</v>
      </c>
      <c r="DG39" s="17"/>
      <c r="DH39" s="17"/>
      <c r="DI39" s="17"/>
      <c r="DJ39" s="17"/>
      <c r="DK39" s="17"/>
      <c r="DL39" s="17"/>
      <c r="DM39" s="18"/>
      <c r="DO39" s="24" t="s">
        <v>68</v>
      </c>
      <c r="DP39" s="17"/>
      <c r="DQ39" s="17"/>
      <c r="DR39" s="17"/>
      <c r="DS39" s="17"/>
      <c r="DT39" s="17"/>
      <c r="DU39" s="17"/>
      <c r="DV39" s="18"/>
      <c r="DX39" s="24" t="s">
        <v>69</v>
      </c>
      <c r="DY39" s="17"/>
      <c r="DZ39" s="17"/>
      <c r="EA39" s="17"/>
      <c r="EB39" s="17"/>
      <c r="EC39" s="17"/>
      <c r="ED39" s="17"/>
      <c r="EE39" s="18"/>
      <c r="EG39" s="24" t="s">
        <v>70</v>
      </c>
      <c r="EH39" s="17"/>
      <c r="EI39" s="17"/>
      <c r="EJ39" s="17"/>
      <c r="EK39" s="17"/>
      <c r="EL39" s="17"/>
      <c r="EM39" s="17"/>
      <c r="EN39" s="18"/>
    </row>
    <row r="40" spans="1:144" ht="16" x14ac:dyDescent="0.2">
      <c r="B40" s="25" t="s">
        <v>37</v>
      </c>
      <c r="C40" s="5">
        <v>1</v>
      </c>
      <c r="E40" s="3" t="s">
        <v>39</v>
      </c>
      <c r="F40" s="5">
        <v>2</v>
      </c>
      <c r="I40" s="19"/>
      <c r="K40" s="25" t="s">
        <v>37</v>
      </c>
      <c r="L40" s="5">
        <v>2</v>
      </c>
      <c r="N40" s="3" t="s">
        <v>39</v>
      </c>
      <c r="O40" s="5">
        <v>3</v>
      </c>
      <c r="R40" s="19"/>
      <c r="T40" s="25" t="s">
        <v>37</v>
      </c>
      <c r="U40" s="5">
        <f>L40+1</f>
        <v>3</v>
      </c>
      <c r="W40" s="3" t="s">
        <v>39</v>
      </c>
      <c r="X40" s="5">
        <f>O40+1</f>
        <v>4</v>
      </c>
      <c r="AA40" s="19"/>
      <c r="AC40" s="25" t="s">
        <v>37</v>
      </c>
      <c r="AD40" s="5">
        <f>U40+1</f>
        <v>4</v>
      </c>
      <c r="AF40" s="3" t="s">
        <v>39</v>
      </c>
      <c r="AG40" s="5">
        <f>X40+1</f>
        <v>5</v>
      </c>
      <c r="AJ40" s="19"/>
      <c r="AL40" s="25" t="s">
        <v>37</v>
      </c>
      <c r="AM40" s="5">
        <f>AD40+1</f>
        <v>5</v>
      </c>
      <c r="AO40" s="3" t="s">
        <v>39</v>
      </c>
      <c r="AP40" s="5">
        <f>AG40+1</f>
        <v>6</v>
      </c>
      <c r="AS40" s="19"/>
      <c r="AU40" s="25" t="s">
        <v>37</v>
      </c>
      <c r="AV40" s="5">
        <f>AM40+1</f>
        <v>6</v>
      </c>
      <c r="AX40" s="3" t="s">
        <v>39</v>
      </c>
      <c r="AY40" s="5">
        <f>AP40+1</f>
        <v>7</v>
      </c>
      <c r="BB40" s="19"/>
      <c r="BD40" s="25" t="s">
        <v>37</v>
      </c>
      <c r="BE40" s="5">
        <f>AV40+1</f>
        <v>7</v>
      </c>
      <c r="BG40" s="3" t="s">
        <v>39</v>
      </c>
      <c r="BH40" s="5">
        <f>AY40+1</f>
        <v>8</v>
      </c>
      <c r="BK40" s="19"/>
      <c r="BM40" s="25" t="s">
        <v>37</v>
      </c>
      <c r="BN40" s="5">
        <f>BE40+1</f>
        <v>8</v>
      </c>
      <c r="BP40" s="3" t="s">
        <v>39</v>
      </c>
      <c r="BQ40" s="5">
        <f>BH40+1</f>
        <v>9</v>
      </c>
      <c r="BT40" s="19"/>
      <c r="BV40" s="25" t="s">
        <v>37</v>
      </c>
      <c r="BW40" s="5">
        <f>BN40+1</f>
        <v>9</v>
      </c>
      <c r="BY40" s="3" t="s">
        <v>39</v>
      </c>
      <c r="BZ40" s="5">
        <f>BQ40+1</f>
        <v>10</v>
      </c>
      <c r="CC40" s="19"/>
      <c r="CE40" s="25" t="s">
        <v>37</v>
      </c>
      <c r="CF40" s="5">
        <f>BW40+1</f>
        <v>10</v>
      </c>
      <c r="CH40" s="3" t="s">
        <v>39</v>
      </c>
      <c r="CI40" s="5">
        <f>BZ40+1</f>
        <v>11</v>
      </c>
      <c r="CL40" s="19"/>
      <c r="CN40" s="25" t="s">
        <v>37</v>
      </c>
      <c r="CO40" s="5">
        <f>CF40+1</f>
        <v>11</v>
      </c>
      <c r="CQ40" s="3" t="s">
        <v>39</v>
      </c>
      <c r="CR40" s="5">
        <f>CI40+1</f>
        <v>12</v>
      </c>
      <c r="CU40" s="19"/>
      <c r="CW40" s="25" t="s">
        <v>37</v>
      </c>
      <c r="CX40" s="5">
        <f>CO40+1</f>
        <v>12</v>
      </c>
      <c r="CZ40" s="3" t="s">
        <v>39</v>
      </c>
      <c r="DA40" s="5">
        <f>CR40+1</f>
        <v>13</v>
      </c>
      <c r="DD40" s="19"/>
      <c r="DF40" s="25" t="s">
        <v>37</v>
      </c>
      <c r="DG40" s="5">
        <f>CX40+1</f>
        <v>13</v>
      </c>
      <c r="DI40" s="3" t="s">
        <v>39</v>
      </c>
      <c r="DJ40" s="5">
        <f>DA40+1</f>
        <v>14</v>
      </c>
      <c r="DM40" s="19"/>
      <c r="DO40" s="25" t="s">
        <v>37</v>
      </c>
      <c r="DP40" s="5">
        <f>DG40+1</f>
        <v>14</v>
      </c>
      <c r="DR40" s="3" t="s">
        <v>39</v>
      </c>
      <c r="DS40" s="5">
        <f>DJ40+1</f>
        <v>15</v>
      </c>
      <c r="DV40" s="19"/>
      <c r="DX40" s="25" t="s">
        <v>37</v>
      </c>
      <c r="DY40" s="5">
        <f>DP40+1</f>
        <v>15</v>
      </c>
      <c r="EA40" s="3" t="s">
        <v>39</v>
      </c>
      <c r="EB40" s="5">
        <f>DS40+1</f>
        <v>16</v>
      </c>
      <c r="EE40" s="19"/>
      <c r="EG40" s="25" t="s">
        <v>37</v>
      </c>
      <c r="EH40" s="5">
        <f>DY40+1</f>
        <v>16</v>
      </c>
      <c r="EJ40" s="3" t="s">
        <v>39</v>
      </c>
      <c r="EK40" s="5">
        <f>EB40+1</f>
        <v>17</v>
      </c>
      <c r="EN40" s="19"/>
    </row>
    <row r="41" spans="1:144" ht="16" x14ac:dyDescent="0.2">
      <c r="B41" s="27" t="s">
        <v>38</v>
      </c>
      <c r="C41" s="12"/>
      <c r="E41" s="14" t="s">
        <v>40</v>
      </c>
      <c r="F41" s="12"/>
      <c r="I41" s="19"/>
      <c r="K41" s="27" t="s">
        <v>38</v>
      </c>
      <c r="L41" s="12"/>
      <c r="N41" s="14" t="s">
        <v>40</v>
      </c>
      <c r="O41" s="12"/>
      <c r="R41" s="19"/>
      <c r="T41" s="27" t="s">
        <v>38</v>
      </c>
      <c r="U41" s="12"/>
      <c r="W41" s="14" t="s">
        <v>40</v>
      </c>
      <c r="X41" s="12"/>
      <c r="AA41" s="19"/>
      <c r="AC41" s="27" t="s">
        <v>38</v>
      </c>
      <c r="AD41" s="12"/>
      <c r="AF41" s="14" t="s">
        <v>40</v>
      </c>
      <c r="AG41" s="12"/>
      <c r="AJ41" s="19"/>
      <c r="AL41" s="27" t="s">
        <v>38</v>
      </c>
      <c r="AM41" s="12"/>
      <c r="AO41" s="14" t="s">
        <v>40</v>
      </c>
      <c r="AP41" s="12"/>
      <c r="AS41" s="19"/>
      <c r="AU41" s="27" t="s">
        <v>38</v>
      </c>
      <c r="AV41" s="12"/>
      <c r="AX41" s="14" t="s">
        <v>40</v>
      </c>
      <c r="AY41" s="12"/>
      <c r="BB41" s="19"/>
      <c r="BD41" s="27" t="s">
        <v>38</v>
      </c>
      <c r="BE41" s="12"/>
      <c r="BG41" s="14" t="s">
        <v>40</v>
      </c>
      <c r="BH41" s="12"/>
      <c r="BK41" s="19"/>
      <c r="BM41" s="27" t="s">
        <v>38</v>
      </c>
      <c r="BN41" s="12"/>
      <c r="BP41" s="14" t="s">
        <v>40</v>
      </c>
      <c r="BQ41" s="12"/>
      <c r="BT41" s="19"/>
      <c r="BV41" s="27" t="s">
        <v>38</v>
      </c>
      <c r="BW41" s="12"/>
      <c r="BY41" s="14" t="s">
        <v>40</v>
      </c>
      <c r="BZ41" s="12"/>
      <c r="CC41" s="19"/>
      <c r="CE41" s="27" t="s">
        <v>38</v>
      </c>
      <c r="CF41" s="12"/>
      <c r="CH41" s="14" t="s">
        <v>40</v>
      </c>
      <c r="CI41" s="12"/>
      <c r="CL41" s="19"/>
      <c r="CN41" s="27" t="s">
        <v>38</v>
      </c>
      <c r="CO41" s="12"/>
      <c r="CQ41" s="14" t="s">
        <v>40</v>
      </c>
      <c r="CR41" s="12"/>
      <c r="CU41" s="19"/>
      <c r="CW41" s="27" t="s">
        <v>38</v>
      </c>
      <c r="CX41" s="12"/>
      <c r="CZ41" s="14" t="s">
        <v>40</v>
      </c>
      <c r="DA41" s="12"/>
      <c r="DD41" s="19"/>
      <c r="DF41" s="27" t="s">
        <v>38</v>
      </c>
      <c r="DG41" s="12"/>
      <c r="DI41" s="14" t="s">
        <v>40</v>
      </c>
      <c r="DJ41" s="12"/>
      <c r="DM41" s="19"/>
      <c r="DO41" s="27" t="s">
        <v>38</v>
      </c>
      <c r="DP41" s="12"/>
      <c r="DR41" s="14" t="s">
        <v>40</v>
      </c>
      <c r="DS41" s="12"/>
      <c r="DV41" s="19"/>
      <c r="DX41" s="27" t="s">
        <v>38</v>
      </c>
      <c r="DY41" s="12"/>
      <c r="EA41" s="14" t="s">
        <v>40</v>
      </c>
      <c r="EB41" s="12"/>
      <c r="EE41" s="19"/>
      <c r="EG41" s="27" t="s">
        <v>38</v>
      </c>
      <c r="EH41" s="12"/>
      <c r="EJ41" s="14" t="s">
        <v>40</v>
      </c>
      <c r="EK41" s="12"/>
      <c r="EN41" s="19"/>
    </row>
    <row r="42" spans="1:144" x14ac:dyDescent="0.2">
      <c r="B42" s="20"/>
      <c r="I42" s="19"/>
      <c r="K42" s="20"/>
      <c r="R42" s="19"/>
      <c r="T42" s="20"/>
      <c r="AA42" s="19"/>
      <c r="AC42" s="20"/>
      <c r="AJ42" s="19"/>
      <c r="AL42" s="20"/>
      <c r="AS42" s="19"/>
      <c r="AU42" s="20"/>
      <c r="BB42" s="19"/>
      <c r="BD42" s="20"/>
      <c r="BK42" s="19"/>
      <c r="BM42" s="20"/>
      <c r="BT42" s="19"/>
      <c r="BV42" s="20"/>
      <c r="CC42" s="19"/>
      <c r="CE42" s="20"/>
      <c r="CL42" s="19"/>
      <c r="CN42" s="20"/>
      <c r="CU42" s="19"/>
      <c r="CW42" s="20"/>
      <c r="DD42" s="19"/>
      <c r="DF42" s="20"/>
      <c r="DM42" s="19"/>
      <c r="DO42" s="20"/>
      <c r="DV42" s="19"/>
      <c r="DX42" s="20"/>
      <c r="EE42" s="19"/>
      <c r="EG42" s="20"/>
      <c r="EN42" s="19"/>
    </row>
    <row r="43" spans="1:144" ht="16" x14ac:dyDescent="0.2">
      <c r="B43" s="25" t="s">
        <v>44</v>
      </c>
      <c r="C43" s="5">
        <v>2</v>
      </c>
      <c r="E43" s="6" t="s">
        <v>58</v>
      </c>
      <c r="F43" s="7">
        <v>0</v>
      </c>
      <c r="H43" s="3" t="s">
        <v>33</v>
      </c>
      <c r="I43" s="46">
        <v>0</v>
      </c>
      <c r="K43" s="25" t="s">
        <v>44</v>
      </c>
      <c r="L43" s="5">
        <v>2</v>
      </c>
      <c r="N43" s="6" t="s">
        <v>58</v>
      </c>
      <c r="O43" s="7">
        <v>0</v>
      </c>
      <c r="Q43" s="3" t="s">
        <v>33</v>
      </c>
      <c r="R43" s="46">
        <v>0</v>
      </c>
      <c r="T43" s="25" t="s">
        <v>44</v>
      </c>
      <c r="U43" s="15" t="s">
        <v>45</v>
      </c>
      <c r="W43" s="6" t="s">
        <v>58</v>
      </c>
      <c r="X43" s="7">
        <v>1</v>
      </c>
      <c r="Z43" s="3" t="s">
        <v>33</v>
      </c>
      <c r="AA43" s="46">
        <f>R43+X43</f>
        <v>1</v>
      </c>
      <c r="AC43" s="25" t="s">
        <v>44</v>
      </c>
      <c r="AD43" s="15" t="s">
        <v>45</v>
      </c>
      <c r="AF43" s="6" t="s">
        <v>58</v>
      </c>
      <c r="AG43" s="7">
        <v>0</v>
      </c>
      <c r="AI43" s="3" t="s">
        <v>33</v>
      </c>
      <c r="AJ43" s="46">
        <f>AA43+AG43</f>
        <v>1</v>
      </c>
      <c r="AL43" s="25" t="s">
        <v>44</v>
      </c>
      <c r="AM43" s="15" t="s">
        <v>45</v>
      </c>
      <c r="AO43" s="6" t="s">
        <v>58</v>
      </c>
      <c r="AP43" s="7">
        <v>0</v>
      </c>
      <c r="AR43" s="3" t="s">
        <v>33</v>
      </c>
      <c r="AS43" s="46">
        <f>AJ43+AP43</f>
        <v>1</v>
      </c>
      <c r="AU43" s="25" t="s">
        <v>44</v>
      </c>
      <c r="AV43" s="15" t="s">
        <v>45</v>
      </c>
      <c r="AX43" s="6" t="s">
        <v>58</v>
      </c>
      <c r="AY43" s="7">
        <v>0</v>
      </c>
      <c r="BA43" s="3" t="s">
        <v>33</v>
      </c>
      <c r="BB43" s="46">
        <f>AS43+AY43</f>
        <v>1</v>
      </c>
      <c r="BD43" s="25" t="s">
        <v>44</v>
      </c>
      <c r="BE43" s="15" t="s">
        <v>45</v>
      </c>
      <c r="BG43" s="6" t="s">
        <v>58</v>
      </c>
      <c r="BH43" s="7">
        <v>1</v>
      </c>
      <c r="BJ43" s="3" t="s">
        <v>33</v>
      </c>
      <c r="BK43" s="46">
        <f>BB43+BH43</f>
        <v>2</v>
      </c>
      <c r="BM43" s="25" t="s">
        <v>44</v>
      </c>
      <c r="BN43" s="15" t="s">
        <v>45</v>
      </c>
      <c r="BP43" s="6" t="s">
        <v>58</v>
      </c>
      <c r="BQ43" s="7">
        <v>1</v>
      </c>
      <c r="BS43" s="3" t="s">
        <v>33</v>
      </c>
      <c r="BT43" s="46">
        <f>BK43+BQ43</f>
        <v>3</v>
      </c>
      <c r="BV43" s="25" t="s">
        <v>44</v>
      </c>
      <c r="BW43" s="15" t="s">
        <v>45</v>
      </c>
      <c r="BY43" s="6" t="s">
        <v>58</v>
      </c>
      <c r="BZ43" s="7">
        <v>0</v>
      </c>
      <c r="CB43" s="3" t="s">
        <v>33</v>
      </c>
      <c r="CC43" s="46">
        <f>BT43+BZ43</f>
        <v>3</v>
      </c>
      <c r="CE43" s="25" t="s">
        <v>44</v>
      </c>
      <c r="CF43" s="15" t="s">
        <v>45</v>
      </c>
      <c r="CH43" s="6" t="s">
        <v>58</v>
      </c>
      <c r="CI43" s="7">
        <v>0</v>
      </c>
      <c r="CK43" s="3" t="s">
        <v>33</v>
      </c>
      <c r="CL43" s="46">
        <f>CC43+CI43</f>
        <v>3</v>
      </c>
      <c r="CN43" s="25" t="s">
        <v>44</v>
      </c>
      <c r="CO43" s="15" t="s">
        <v>45</v>
      </c>
      <c r="CQ43" s="6" t="s">
        <v>58</v>
      </c>
      <c r="CR43" s="7">
        <v>0</v>
      </c>
      <c r="CT43" s="3" t="s">
        <v>33</v>
      </c>
      <c r="CU43" s="46">
        <f>CL43+CR43</f>
        <v>3</v>
      </c>
      <c r="CW43" s="25" t="s">
        <v>44</v>
      </c>
      <c r="CX43" s="15" t="s">
        <v>45</v>
      </c>
      <c r="CZ43" s="6" t="s">
        <v>58</v>
      </c>
      <c r="DA43" s="7">
        <v>1</v>
      </c>
      <c r="DC43" s="3" t="s">
        <v>33</v>
      </c>
      <c r="DD43" s="46">
        <f>CU43+DA43</f>
        <v>4</v>
      </c>
      <c r="DF43" s="25" t="s">
        <v>44</v>
      </c>
      <c r="DG43" s="15" t="s">
        <v>45</v>
      </c>
      <c r="DI43" s="6" t="s">
        <v>58</v>
      </c>
      <c r="DJ43" s="7">
        <v>0</v>
      </c>
      <c r="DL43" s="3" t="s">
        <v>33</v>
      </c>
      <c r="DM43" s="46">
        <f>DD43+DJ43</f>
        <v>4</v>
      </c>
      <c r="DO43" s="25" t="s">
        <v>44</v>
      </c>
      <c r="DP43" s="15" t="s">
        <v>45</v>
      </c>
      <c r="DR43" s="6" t="s">
        <v>58</v>
      </c>
      <c r="DS43" s="7">
        <v>1</v>
      </c>
      <c r="DU43" s="3" t="s">
        <v>33</v>
      </c>
      <c r="DV43" s="46">
        <f>DM43+DS43</f>
        <v>5</v>
      </c>
      <c r="DX43" s="25" t="s">
        <v>44</v>
      </c>
      <c r="DY43" s="15" t="s">
        <v>45</v>
      </c>
      <c r="EA43" s="6" t="s">
        <v>58</v>
      </c>
      <c r="EB43" s="7">
        <v>1</v>
      </c>
      <c r="ED43" s="3" t="s">
        <v>33</v>
      </c>
      <c r="EE43" s="46">
        <f>DV43+EB43</f>
        <v>6</v>
      </c>
      <c r="EG43" s="25" t="s">
        <v>44</v>
      </c>
      <c r="EH43" s="15" t="s">
        <v>45</v>
      </c>
      <c r="EJ43" s="6" t="s">
        <v>58</v>
      </c>
      <c r="EK43" s="7">
        <v>1</v>
      </c>
      <c r="EM43" s="3" t="s">
        <v>33</v>
      </c>
      <c r="EN43" s="46">
        <f>EE43+EK43</f>
        <v>7</v>
      </c>
    </row>
    <row r="44" spans="1:144" ht="16" x14ac:dyDescent="0.2">
      <c r="B44" s="47" t="s">
        <v>45</v>
      </c>
      <c r="C44" s="12">
        <v>2</v>
      </c>
      <c r="H44" s="10" t="s">
        <v>59</v>
      </c>
      <c r="I44" s="48"/>
      <c r="K44" s="47" t="s">
        <v>45</v>
      </c>
      <c r="L44" s="12">
        <v>2</v>
      </c>
      <c r="Q44" s="10" t="s">
        <v>59</v>
      </c>
      <c r="R44" s="48"/>
      <c r="T44" s="51">
        <v>2</v>
      </c>
      <c r="U44" s="12">
        <v>1</v>
      </c>
      <c r="Z44" s="10" t="s">
        <v>59</v>
      </c>
      <c r="AA44" s="48"/>
      <c r="AC44" s="51">
        <v>1</v>
      </c>
      <c r="AD44" s="50">
        <v>1</v>
      </c>
      <c r="AI44" s="10" t="s">
        <v>59</v>
      </c>
      <c r="AJ44" s="48"/>
      <c r="AL44" s="55">
        <v>1</v>
      </c>
      <c r="AM44" s="7">
        <v>1</v>
      </c>
      <c r="AR44" s="10" t="s">
        <v>59</v>
      </c>
      <c r="AS44" s="48"/>
      <c r="AU44" s="55">
        <v>1</v>
      </c>
      <c r="AV44" s="7">
        <v>1</v>
      </c>
      <c r="BA44" s="10" t="s">
        <v>59</v>
      </c>
      <c r="BB44" s="48"/>
      <c r="BD44" s="55">
        <v>1</v>
      </c>
      <c r="BE44" s="7">
        <v>2</v>
      </c>
      <c r="BJ44" s="10" t="s">
        <v>59</v>
      </c>
      <c r="BK44" s="48"/>
      <c r="BM44" s="55">
        <v>2</v>
      </c>
      <c r="BN44" s="7">
        <v>1</v>
      </c>
      <c r="BS44" s="10" t="s">
        <v>59</v>
      </c>
      <c r="BT44" s="48"/>
      <c r="BV44" s="55">
        <v>1</v>
      </c>
      <c r="BW44" s="7">
        <v>1</v>
      </c>
      <c r="CB44" s="10" t="s">
        <v>59</v>
      </c>
      <c r="CC44" s="48"/>
      <c r="CE44" s="55">
        <v>1</v>
      </c>
      <c r="CF44" s="7">
        <v>1</v>
      </c>
      <c r="CK44" s="10" t="s">
        <v>59</v>
      </c>
      <c r="CL44" s="48"/>
      <c r="CN44" s="55">
        <v>1</v>
      </c>
      <c r="CO44" s="7">
        <v>1</v>
      </c>
      <c r="CT44" s="10" t="s">
        <v>59</v>
      </c>
      <c r="CU44" s="48"/>
      <c r="CW44" s="55">
        <v>1</v>
      </c>
      <c r="CX44" s="7">
        <v>2</v>
      </c>
      <c r="DC44" s="10" t="s">
        <v>59</v>
      </c>
      <c r="DD44" s="48"/>
      <c r="DF44" s="55">
        <v>2</v>
      </c>
      <c r="DG44" s="7">
        <v>2</v>
      </c>
      <c r="DL44" s="10" t="s">
        <v>59</v>
      </c>
      <c r="DM44" s="48"/>
      <c r="DO44" s="55">
        <v>2</v>
      </c>
      <c r="DP44" s="7">
        <v>1</v>
      </c>
      <c r="DU44" s="10" t="s">
        <v>59</v>
      </c>
      <c r="DV44" s="48"/>
      <c r="DX44" s="55">
        <v>1</v>
      </c>
      <c r="DY44" s="7">
        <v>2</v>
      </c>
      <c r="ED44" s="10" t="s">
        <v>59</v>
      </c>
      <c r="EE44" s="48"/>
      <c r="EG44" s="55">
        <v>2</v>
      </c>
      <c r="EH44" s="7">
        <v>1</v>
      </c>
      <c r="EM44" s="10" t="s">
        <v>59</v>
      </c>
      <c r="EN44" s="48"/>
    </row>
    <row r="45" spans="1:144" x14ac:dyDescent="0.2">
      <c r="B45" s="20"/>
      <c r="I45" s="19"/>
      <c r="K45" s="20"/>
      <c r="R45" s="19"/>
      <c r="T45" s="20"/>
      <c r="AA45" s="19"/>
      <c r="AC45" s="20"/>
      <c r="AJ45" s="19"/>
      <c r="AL45" s="20"/>
      <c r="AS45" s="19"/>
      <c r="AU45" s="20"/>
      <c r="BB45" s="19"/>
      <c r="BD45" s="20"/>
      <c r="BK45" s="19"/>
      <c r="BM45" s="20"/>
      <c r="BT45" s="19"/>
      <c r="BV45" s="20"/>
      <c r="CC45" s="19"/>
      <c r="CE45" s="20"/>
      <c r="CL45" s="19"/>
      <c r="CN45" s="20"/>
      <c r="CU45" s="19"/>
      <c r="CW45" s="20"/>
      <c r="DD45" s="19"/>
      <c r="DF45" s="20"/>
      <c r="DM45" s="19"/>
      <c r="DO45" s="20"/>
      <c r="DV45" s="19"/>
      <c r="DX45" s="20"/>
      <c r="EE45" s="19"/>
      <c r="EG45" s="20"/>
      <c r="EN45" s="19"/>
    </row>
    <row r="46" spans="1:144" ht="16" x14ac:dyDescent="0.2">
      <c r="B46" s="25" t="s">
        <v>47</v>
      </c>
      <c r="C46" s="5">
        <v>1</v>
      </c>
      <c r="E46" s="6" t="s">
        <v>49</v>
      </c>
      <c r="F46" s="7">
        <v>0</v>
      </c>
      <c r="H46" s="3" t="s">
        <v>35</v>
      </c>
      <c r="I46" s="46">
        <v>0</v>
      </c>
      <c r="K46" s="25" t="s">
        <v>47</v>
      </c>
      <c r="L46" s="5">
        <v>1</v>
      </c>
      <c r="N46" s="6" t="s">
        <v>49</v>
      </c>
      <c r="O46" s="7">
        <v>0</v>
      </c>
      <c r="Q46" s="3" t="s">
        <v>35</v>
      </c>
      <c r="R46" s="46">
        <v>0</v>
      </c>
      <c r="T46" s="25" t="s">
        <v>47</v>
      </c>
      <c r="U46" s="15" t="s">
        <v>48</v>
      </c>
      <c r="W46" s="6" t="s">
        <v>49</v>
      </c>
      <c r="X46" s="7">
        <v>1</v>
      </c>
      <c r="Z46" s="3" t="s">
        <v>35</v>
      </c>
      <c r="AA46" s="46">
        <f>R46+X46</f>
        <v>1</v>
      </c>
      <c r="AC46" s="25" t="s">
        <v>47</v>
      </c>
      <c r="AD46" s="15" t="s">
        <v>48</v>
      </c>
      <c r="AF46" s="6" t="s">
        <v>49</v>
      </c>
      <c r="AG46" s="7">
        <v>0</v>
      </c>
      <c r="AI46" s="3" t="s">
        <v>35</v>
      </c>
      <c r="AJ46" s="46">
        <f>AA46+AG46</f>
        <v>1</v>
      </c>
      <c r="AL46" s="25" t="s">
        <v>47</v>
      </c>
      <c r="AM46" s="15" t="s">
        <v>48</v>
      </c>
      <c r="AO46" s="6" t="s">
        <v>49</v>
      </c>
      <c r="AP46" s="7">
        <v>0</v>
      </c>
      <c r="AR46" s="3" t="s">
        <v>35</v>
      </c>
      <c r="AS46" s="46">
        <f>AJ46+AP46</f>
        <v>1</v>
      </c>
      <c r="AU46" s="25" t="s">
        <v>47</v>
      </c>
      <c r="AV46" s="15" t="s">
        <v>48</v>
      </c>
      <c r="AX46" s="6" t="s">
        <v>49</v>
      </c>
      <c r="AY46" s="7">
        <v>0</v>
      </c>
      <c r="BA46" s="3" t="s">
        <v>35</v>
      </c>
      <c r="BB46" s="46">
        <f>AS46+AY46</f>
        <v>1</v>
      </c>
      <c r="BD46" s="25" t="s">
        <v>47</v>
      </c>
      <c r="BE46" s="15" t="s">
        <v>48</v>
      </c>
      <c r="BG46" s="6" t="s">
        <v>49</v>
      </c>
      <c r="BH46" s="7">
        <v>2</v>
      </c>
      <c r="BJ46" s="3" t="s">
        <v>35</v>
      </c>
      <c r="BK46" s="46">
        <f>BB46+BH46</f>
        <v>3</v>
      </c>
      <c r="BM46" s="25" t="s">
        <v>47</v>
      </c>
      <c r="BN46" s="15" t="s">
        <v>48</v>
      </c>
      <c r="BP46" s="6" t="s">
        <v>49</v>
      </c>
      <c r="BQ46" s="7">
        <v>1</v>
      </c>
      <c r="BS46" s="3" t="s">
        <v>35</v>
      </c>
      <c r="BT46" s="46">
        <f>BK46+BQ46</f>
        <v>4</v>
      </c>
      <c r="BV46" s="25" t="s">
        <v>47</v>
      </c>
      <c r="BW46" s="15" t="s">
        <v>48</v>
      </c>
      <c r="BY46" s="6" t="s">
        <v>49</v>
      </c>
      <c r="BZ46" s="7">
        <v>1</v>
      </c>
      <c r="CB46" s="3" t="s">
        <v>35</v>
      </c>
      <c r="CC46" s="46">
        <f>BT46+BZ46</f>
        <v>5</v>
      </c>
      <c r="CE46" s="25" t="s">
        <v>47</v>
      </c>
      <c r="CF46" s="15" t="s">
        <v>48</v>
      </c>
      <c r="CH46" s="6" t="s">
        <v>49</v>
      </c>
      <c r="CI46" s="7">
        <v>1</v>
      </c>
      <c r="CK46" s="3" t="s">
        <v>35</v>
      </c>
      <c r="CL46" s="46">
        <f>CC46+CI46</f>
        <v>6</v>
      </c>
      <c r="CN46" s="25" t="s">
        <v>47</v>
      </c>
      <c r="CO46" s="15" t="s">
        <v>48</v>
      </c>
      <c r="CQ46" s="6" t="s">
        <v>49</v>
      </c>
      <c r="CR46" s="7">
        <v>0</v>
      </c>
      <c r="CT46" s="3" t="s">
        <v>35</v>
      </c>
      <c r="CU46" s="46">
        <f>CL46+CR46</f>
        <v>6</v>
      </c>
      <c r="CW46" s="25" t="s">
        <v>47</v>
      </c>
      <c r="CX46" s="15" t="s">
        <v>48</v>
      </c>
      <c r="CZ46" s="6" t="s">
        <v>49</v>
      </c>
      <c r="DA46" s="7">
        <v>1</v>
      </c>
      <c r="DC46" s="3" t="s">
        <v>35</v>
      </c>
      <c r="DD46" s="46">
        <f>CU46+DA46</f>
        <v>7</v>
      </c>
      <c r="DF46" s="25" t="s">
        <v>47</v>
      </c>
      <c r="DG46" s="15" t="s">
        <v>48</v>
      </c>
      <c r="DI46" s="6" t="s">
        <v>49</v>
      </c>
      <c r="DJ46" s="7">
        <v>1</v>
      </c>
      <c r="DL46" s="3" t="s">
        <v>35</v>
      </c>
      <c r="DM46" s="46">
        <f>DD46+DJ46</f>
        <v>8</v>
      </c>
      <c r="DO46" s="25" t="s">
        <v>47</v>
      </c>
      <c r="DP46" s="15" t="s">
        <v>48</v>
      </c>
      <c r="DR46" s="6" t="s">
        <v>49</v>
      </c>
      <c r="DS46" s="7">
        <v>1</v>
      </c>
      <c r="DU46" s="3" t="s">
        <v>35</v>
      </c>
      <c r="DV46" s="46">
        <f>DM46+DS46</f>
        <v>9</v>
      </c>
      <c r="DX46" s="25" t="s">
        <v>47</v>
      </c>
      <c r="DY46" s="15" t="s">
        <v>48</v>
      </c>
      <c r="EA46" s="6" t="s">
        <v>49</v>
      </c>
      <c r="EB46" s="7">
        <v>0</v>
      </c>
      <c r="ED46" s="3" t="s">
        <v>35</v>
      </c>
      <c r="EE46" s="46">
        <f>DV46+EB46</f>
        <v>9</v>
      </c>
      <c r="EG46" s="25" t="s">
        <v>47</v>
      </c>
      <c r="EH46" s="15" t="s">
        <v>48</v>
      </c>
      <c r="EJ46" s="6" t="s">
        <v>49</v>
      </c>
      <c r="EK46" s="7">
        <v>1</v>
      </c>
      <c r="EM46" s="3" t="s">
        <v>35</v>
      </c>
      <c r="EN46" s="46">
        <f>EE46+EK46</f>
        <v>10</v>
      </c>
    </row>
    <row r="47" spans="1:144" ht="16" x14ac:dyDescent="0.2">
      <c r="B47" s="47" t="s">
        <v>48</v>
      </c>
      <c r="C47" s="12">
        <v>1</v>
      </c>
      <c r="H47" s="10" t="s">
        <v>46</v>
      </c>
      <c r="I47" s="48"/>
      <c r="K47" s="47" t="s">
        <v>48</v>
      </c>
      <c r="L47" s="12">
        <v>1</v>
      </c>
      <c r="Q47" s="10" t="s">
        <v>46</v>
      </c>
      <c r="R47" s="48"/>
      <c r="T47" s="51">
        <v>1</v>
      </c>
      <c r="U47" s="12">
        <v>2</v>
      </c>
      <c r="Z47" s="10" t="s">
        <v>46</v>
      </c>
      <c r="AA47" s="48"/>
      <c r="AC47" s="51">
        <v>2</v>
      </c>
      <c r="AD47" s="12">
        <v>2</v>
      </c>
      <c r="AI47" s="10" t="s">
        <v>46</v>
      </c>
      <c r="AJ47" s="48"/>
      <c r="AL47" s="55">
        <v>2</v>
      </c>
      <c r="AM47" s="7">
        <v>2</v>
      </c>
      <c r="AR47" s="10" t="s">
        <v>46</v>
      </c>
      <c r="AS47" s="48"/>
      <c r="AU47" s="55">
        <v>2</v>
      </c>
      <c r="AV47" s="7">
        <v>2</v>
      </c>
      <c r="BA47" s="10" t="s">
        <v>46</v>
      </c>
      <c r="BB47" s="48"/>
      <c r="BD47" s="55">
        <v>2</v>
      </c>
      <c r="BE47" s="7">
        <v>3</v>
      </c>
      <c r="BJ47" s="10" t="s">
        <v>46</v>
      </c>
      <c r="BK47" s="48"/>
      <c r="BM47" s="55">
        <v>3</v>
      </c>
      <c r="BN47" s="7">
        <v>4</v>
      </c>
      <c r="BS47" s="10" t="s">
        <v>46</v>
      </c>
      <c r="BT47" s="48"/>
      <c r="BV47" s="55">
        <v>4</v>
      </c>
      <c r="BW47" s="7">
        <v>3</v>
      </c>
      <c r="CB47" s="10" t="s">
        <v>46</v>
      </c>
      <c r="CC47" s="48"/>
      <c r="CE47" s="55">
        <v>3</v>
      </c>
      <c r="CF47" s="7">
        <v>4</v>
      </c>
      <c r="CK47" s="10" t="s">
        <v>46</v>
      </c>
      <c r="CL47" s="48"/>
      <c r="CN47" s="55">
        <v>4</v>
      </c>
      <c r="CO47" s="7">
        <v>4</v>
      </c>
      <c r="CT47" s="10" t="s">
        <v>46</v>
      </c>
      <c r="CU47" s="48"/>
      <c r="CW47" s="55">
        <v>4</v>
      </c>
      <c r="CX47" s="7">
        <v>3</v>
      </c>
      <c r="DC47" s="10" t="s">
        <v>46</v>
      </c>
      <c r="DD47" s="48"/>
      <c r="DF47" s="55">
        <v>3</v>
      </c>
      <c r="DG47" s="7">
        <v>4</v>
      </c>
      <c r="DL47" s="10" t="s">
        <v>46</v>
      </c>
      <c r="DM47" s="48"/>
      <c r="DO47" s="55">
        <v>4</v>
      </c>
      <c r="DP47" s="7">
        <v>3</v>
      </c>
      <c r="DU47" s="10" t="s">
        <v>46</v>
      </c>
      <c r="DV47" s="48"/>
      <c r="DX47" s="55">
        <v>3</v>
      </c>
      <c r="DY47" s="7">
        <v>3</v>
      </c>
      <c r="ED47" s="10" t="s">
        <v>46</v>
      </c>
      <c r="EE47" s="48"/>
      <c r="EG47" s="55">
        <v>3</v>
      </c>
      <c r="EH47" s="7">
        <v>4</v>
      </c>
      <c r="EM47" s="10" t="s">
        <v>46</v>
      </c>
      <c r="EN47" s="48"/>
    </row>
    <row r="48" spans="1:144" x14ac:dyDescent="0.2">
      <c r="B48" s="20"/>
      <c r="I48" s="19"/>
      <c r="K48" s="20"/>
      <c r="R48" s="19"/>
      <c r="T48" s="20"/>
      <c r="AA48" s="19"/>
      <c r="AC48" s="20"/>
      <c r="AJ48" s="19"/>
      <c r="AL48" s="20"/>
      <c r="AS48" s="19"/>
      <c r="AU48" s="20"/>
      <c r="BB48" s="19"/>
      <c r="BD48" s="20"/>
      <c r="BK48" s="19"/>
      <c r="BM48" s="20"/>
      <c r="BT48" s="19"/>
      <c r="BV48" s="20"/>
      <c r="CC48" s="19"/>
      <c r="CE48" s="20"/>
      <c r="CL48" s="19"/>
      <c r="CN48" s="20"/>
      <c r="CU48" s="19"/>
      <c r="CW48" s="20"/>
      <c r="DD48" s="19"/>
      <c r="DF48" s="20"/>
      <c r="DM48" s="19"/>
      <c r="DO48" s="20"/>
      <c r="DV48" s="19"/>
      <c r="DX48" s="20"/>
      <c r="EE48" s="19"/>
      <c r="EG48" s="20"/>
      <c r="EN48" s="19"/>
    </row>
    <row r="49" spans="1:144" ht="16" x14ac:dyDescent="0.2">
      <c r="B49" s="25" t="s">
        <v>51</v>
      </c>
      <c r="C49" s="5">
        <v>3</v>
      </c>
      <c r="E49" s="6" t="s">
        <v>53</v>
      </c>
      <c r="F49" s="7">
        <v>63.9</v>
      </c>
      <c r="H49" s="3" t="s">
        <v>34</v>
      </c>
      <c r="I49" s="46">
        <v>63.9</v>
      </c>
      <c r="K49" s="25" t="s">
        <v>51</v>
      </c>
      <c r="L49" s="5">
        <v>1</v>
      </c>
      <c r="N49" s="6" t="s">
        <v>53</v>
      </c>
      <c r="O49" s="7">
        <v>54.2</v>
      </c>
      <c r="Q49" s="3" t="s">
        <v>34</v>
      </c>
      <c r="R49" s="46">
        <f>I49+O49</f>
        <v>118.1</v>
      </c>
      <c r="T49" s="25" t="s">
        <v>51</v>
      </c>
      <c r="U49" s="15" t="s">
        <v>52</v>
      </c>
      <c r="W49" s="6" t="s">
        <v>53</v>
      </c>
      <c r="X49" s="7">
        <v>172.1</v>
      </c>
      <c r="Z49" s="3" t="s">
        <v>34</v>
      </c>
      <c r="AA49" s="46">
        <f>R49+X49</f>
        <v>290.2</v>
      </c>
      <c r="AC49" s="25" t="s">
        <v>51</v>
      </c>
      <c r="AD49" s="15" t="s">
        <v>52</v>
      </c>
      <c r="AF49" s="6" t="s">
        <v>53</v>
      </c>
      <c r="AG49" s="7">
        <v>56.4</v>
      </c>
      <c r="AI49" s="3" t="s">
        <v>34</v>
      </c>
      <c r="AJ49" s="46">
        <f>AA49+AG49</f>
        <v>346.59999999999997</v>
      </c>
      <c r="AL49" s="25" t="s">
        <v>51</v>
      </c>
      <c r="AM49" s="15" t="s">
        <v>52</v>
      </c>
      <c r="AO49" s="6" t="s">
        <v>53</v>
      </c>
      <c r="AP49" s="7">
        <v>61.9</v>
      </c>
      <c r="AR49" s="3" t="s">
        <v>34</v>
      </c>
      <c r="AS49" s="46">
        <f>AJ49+AP49</f>
        <v>408.49999999999994</v>
      </c>
      <c r="AU49" s="25" t="s">
        <v>51</v>
      </c>
      <c r="AV49" s="15" t="s">
        <v>52</v>
      </c>
      <c r="AX49" s="6" t="s">
        <v>53</v>
      </c>
      <c r="AY49" s="7">
        <v>55.9</v>
      </c>
      <c r="BA49" s="3" t="s">
        <v>34</v>
      </c>
      <c r="BB49" s="46">
        <f>AS49+AY49</f>
        <v>464.39999999999992</v>
      </c>
      <c r="BD49" s="25" t="s">
        <v>51</v>
      </c>
      <c r="BE49" s="15" t="s">
        <v>52</v>
      </c>
      <c r="BG49" s="6" t="s">
        <v>53</v>
      </c>
      <c r="BH49" s="7">
        <v>149.80000000000001</v>
      </c>
      <c r="BJ49" s="3" t="s">
        <v>34</v>
      </c>
      <c r="BK49" s="46">
        <f>BB49+BH49</f>
        <v>614.19999999999993</v>
      </c>
      <c r="BM49" s="25" t="s">
        <v>51</v>
      </c>
      <c r="BN49" s="15" t="s">
        <v>52</v>
      </c>
      <c r="BP49" s="6" t="s">
        <v>53</v>
      </c>
      <c r="BQ49" s="7">
        <v>116.6</v>
      </c>
      <c r="BS49" s="3" t="s">
        <v>34</v>
      </c>
      <c r="BT49" s="46">
        <f>BK49+BQ49</f>
        <v>730.8</v>
      </c>
      <c r="BV49" s="25" t="s">
        <v>51</v>
      </c>
      <c r="BW49" s="15" t="s">
        <v>52</v>
      </c>
      <c r="BY49" s="6" t="s">
        <v>53</v>
      </c>
      <c r="BZ49" s="7">
        <v>88.1</v>
      </c>
      <c r="CB49" s="3" t="s">
        <v>34</v>
      </c>
      <c r="CC49" s="46">
        <f>BT49+BZ49</f>
        <v>818.9</v>
      </c>
      <c r="CE49" s="25" t="s">
        <v>51</v>
      </c>
      <c r="CF49" s="15" t="s">
        <v>52</v>
      </c>
      <c r="CH49" s="6" t="s">
        <v>53</v>
      </c>
      <c r="CI49" s="7">
        <v>84.8</v>
      </c>
      <c r="CK49" s="3" t="s">
        <v>34</v>
      </c>
      <c r="CL49" s="46">
        <f>CC49+CI49</f>
        <v>903.69999999999993</v>
      </c>
      <c r="CN49" s="25" t="s">
        <v>51</v>
      </c>
      <c r="CO49" s="15" t="s">
        <v>52</v>
      </c>
      <c r="CQ49" s="6" t="s">
        <v>53</v>
      </c>
      <c r="CR49" s="7">
        <v>88.7</v>
      </c>
      <c r="CT49" s="3" t="s">
        <v>34</v>
      </c>
      <c r="CU49" s="46">
        <f>CL49+CR49</f>
        <v>992.4</v>
      </c>
      <c r="CW49" s="25" t="s">
        <v>51</v>
      </c>
      <c r="CX49" s="15" t="s">
        <v>52</v>
      </c>
      <c r="CZ49" s="6" t="s">
        <v>53</v>
      </c>
      <c r="DA49" s="7">
        <v>31.8</v>
      </c>
      <c r="DC49" s="3" t="s">
        <v>34</v>
      </c>
      <c r="DD49" s="46">
        <f>CU49+DA49</f>
        <v>1024.2</v>
      </c>
      <c r="DF49" s="25" t="s">
        <v>51</v>
      </c>
      <c r="DG49" s="15" t="s">
        <v>52</v>
      </c>
      <c r="DI49" s="6" t="s">
        <v>53</v>
      </c>
      <c r="DJ49" s="7">
        <v>30.2</v>
      </c>
      <c r="DL49" s="3" t="s">
        <v>34</v>
      </c>
      <c r="DM49" s="46">
        <f>DD49+DJ49</f>
        <v>1054.4000000000001</v>
      </c>
      <c r="DO49" s="25" t="s">
        <v>51</v>
      </c>
      <c r="DP49" s="15" t="s">
        <v>52</v>
      </c>
      <c r="DR49" s="6" t="s">
        <v>53</v>
      </c>
      <c r="DS49" s="7">
        <v>61.9</v>
      </c>
      <c r="DU49" s="3" t="s">
        <v>34</v>
      </c>
      <c r="DV49" s="46">
        <f>DM49+DS49</f>
        <v>1116.3000000000002</v>
      </c>
      <c r="DX49" s="25" t="s">
        <v>51</v>
      </c>
      <c r="DY49" s="15" t="s">
        <v>52</v>
      </c>
      <c r="EA49" s="6" t="s">
        <v>53</v>
      </c>
      <c r="EB49" s="7">
        <v>47.6</v>
      </c>
      <c r="ED49" s="3" t="s">
        <v>34</v>
      </c>
      <c r="EE49" s="46">
        <f>DV49+EB49</f>
        <v>1163.9000000000001</v>
      </c>
      <c r="EG49" s="25" t="s">
        <v>51</v>
      </c>
      <c r="EH49" s="15" t="s">
        <v>52</v>
      </c>
      <c r="EJ49" s="6" t="s">
        <v>53</v>
      </c>
      <c r="EK49" s="7">
        <v>35.6</v>
      </c>
      <c r="EM49" s="3" t="s">
        <v>34</v>
      </c>
      <c r="EN49" s="46">
        <f>EE49+EK49</f>
        <v>1199.5</v>
      </c>
    </row>
    <row r="50" spans="1:144" ht="17" thickBot="1" x14ac:dyDescent="0.25">
      <c r="B50" s="32" t="s">
        <v>52</v>
      </c>
      <c r="C50" s="43">
        <v>1</v>
      </c>
      <c r="D50" s="29"/>
      <c r="E50" s="29"/>
      <c r="F50" s="29"/>
      <c r="G50" s="29"/>
      <c r="H50" s="49" t="s">
        <v>50</v>
      </c>
      <c r="I50" s="30"/>
      <c r="K50" s="32" t="s">
        <v>52</v>
      </c>
      <c r="L50" s="43">
        <v>2</v>
      </c>
      <c r="M50" s="29"/>
      <c r="N50" s="29"/>
      <c r="O50" s="29"/>
      <c r="P50" s="29"/>
      <c r="Q50" s="49" t="s">
        <v>50</v>
      </c>
      <c r="R50" s="30"/>
      <c r="T50" s="54">
        <v>2</v>
      </c>
      <c r="U50" s="43">
        <v>17</v>
      </c>
      <c r="V50" s="29"/>
      <c r="W50" s="29"/>
      <c r="X50" s="29"/>
      <c r="Y50" s="29"/>
      <c r="Z50" s="49" t="s">
        <v>50</v>
      </c>
      <c r="AA50" s="30"/>
      <c r="AC50" s="22">
        <v>17</v>
      </c>
      <c r="AD50" s="43">
        <v>15</v>
      </c>
      <c r="AE50" s="29"/>
      <c r="AF50" s="29"/>
      <c r="AG50" s="29"/>
      <c r="AH50" s="29"/>
      <c r="AI50" s="49" t="s">
        <v>50</v>
      </c>
      <c r="AJ50" s="30"/>
      <c r="AL50" s="56">
        <v>15</v>
      </c>
      <c r="AM50" s="23">
        <v>16</v>
      </c>
      <c r="AN50" s="29"/>
      <c r="AO50" s="29"/>
      <c r="AP50" s="29"/>
      <c r="AQ50" s="29"/>
      <c r="AR50" s="49" t="s">
        <v>50</v>
      </c>
      <c r="AS50" s="30"/>
      <c r="AU50" s="56">
        <v>16</v>
      </c>
      <c r="AV50" s="23">
        <v>14</v>
      </c>
      <c r="AW50" s="29"/>
      <c r="AX50" s="29"/>
      <c r="AY50" s="29"/>
      <c r="AZ50" s="29"/>
      <c r="BA50" s="49" t="s">
        <v>50</v>
      </c>
      <c r="BB50" s="30"/>
      <c r="BD50" s="56">
        <v>14</v>
      </c>
      <c r="BE50" s="23">
        <v>4</v>
      </c>
      <c r="BF50" s="29"/>
      <c r="BG50" s="29"/>
      <c r="BH50" s="29"/>
      <c r="BI50" s="29"/>
      <c r="BJ50" s="49" t="s">
        <v>50</v>
      </c>
      <c r="BK50" s="30"/>
      <c r="BM50" s="56">
        <v>4</v>
      </c>
      <c r="BN50" s="23">
        <v>13</v>
      </c>
      <c r="BO50" s="29"/>
      <c r="BP50" s="29"/>
      <c r="BQ50" s="29"/>
      <c r="BR50" s="29"/>
      <c r="BS50" s="49" t="s">
        <v>50</v>
      </c>
      <c r="BT50" s="30"/>
      <c r="BV50" s="56">
        <v>13</v>
      </c>
      <c r="BW50" s="23">
        <v>12</v>
      </c>
      <c r="BX50" s="29"/>
      <c r="BY50" s="29"/>
      <c r="BZ50" s="29"/>
      <c r="CA50" s="29"/>
      <c r="CB50" s="49" t="s">
        <v>50</v>
      </c>
      <c r="CC50" s="30"/>
      <c r="CE50" s="56">
        <v>12</v>
      </c>
      <c r="CF50" s="23">
        <v>11</v>
      </c>
      <c r="CG50" s="29"/>
      <c r="CH50" s="29"/>
      <c r="CI50" s="29"/>
      <c r="CJ50" s="29"/>
      <c r="CK50" s="49" t="s">
        <v>50</v>
      </c>
      <c r="CL50" s="30"/>
      <c r="CN50" s="56">
        <v>11</v>
      </c>
      <c r="CO50" s="23">
        <v>10</v>
      </c>
      <c r="CP50" s="29"/>
      <c r="CQ50" s="29"/>
      <c r="CR50" s="29"/>
      <c r="CS50" s="29"/>
      <c r="CT50" s="49" t="s">
        <v>50</v>
      </c>
      <c r="CU50" s="30"/>
      <c r="CW50" s="56">
        <v>10</v>
      </c>
      <c r="CX50" s="23">
        <v>5</v>
      </c>
      <c r="CY50" s="29"/>
      <c r="CZ50" s="29"/>
      <c r="DA50" s="29"/>
      <c r="DB50" s="29"/>
      <c r="DC50" s="49" t="s">
        <v>50</v>
      </c>
      <c r="DD50" s="30"/>
      <c r="DF50" s="56">
        <v>5</v>
      </c>
      <c r="DG50" s="23">
        <v>6</v>
      </c>
      <c r="DH50" s="29"/>
      <c r="DI50" s="29"/>
      <c r="DJ50" s="29"/>
      <c r="DK50" s="29"/>
      <c r="DL50" s="49" t="s">
        <v>50</v>
      </c>
      <c r="DM50" s="30"/>
      <c r="DO50" s="56">
        <v>6</v>
      </c>
      <c r="DP50" s="23">
        <v>9</v>
      </c>
      <c r="DQ50" s="29"/>
      <c r="DR50" s="29"/>
      <c r="DS50" s="29"/>
      <c r="DT50" s="29"/>
      <c r="DU50" s="49" t="s">
        <v>50</v>
      </c>
      <c r="DV50" s="30"/>
      <c r="DX50" s="56">
        <v>9</v>
      </c>
      <c r="DY50" s="23">
        <v>7</v>
      </c>
      <c r="DZ50" s="29"/>
      <c r="EA50" s="29"/>
      <c r="EB50" s="29"/>
      <c r="EC50" s="29"/>
      <c r="ED50" s="49" t="s">
        <v>50</v>
      </c>
      <c r="EE50" s="30"/>
      <c r="EG50" s="56">
        <v>7</v>
      </c>
      <c r="EH50" s="23">
        <v>8</v>
      </c>
      <c r="EI50" s="29"/>
      <c r="EJ50" s="29"/>
      <c r="EK50" s="29"/>
      <c r="EL50" s="29"/>
      <c r="EM50" s="49" t="s">
        <v>50</v>
      </c>
      <c r="EN50" s="30"/>
    </row>
    <row r="52" spans="1:144" ht="16" x14ac:dyDescent="0.2">
      <c r="A52" s="1" t="s">
        <v>29</v>
      </c>
      <c r="B52" s="3" t="s">
        <v>71</v>
      </c>
      <c r="C52" s="5">
        <v>7</v>
      </c>
    </row>
    <row r="53" spans="1:144" ht="16" x14ac:dyDescent="0.2">
      <c r="B53" s="10" t="s">
        <v>33</v>
      </c>
      <c r="C53" s="12"/>
    </row>
    <row r="55" spans="1:144" ht="16" x14ac:dyDescent="0.2">
      <c r="B55" s="3" t="s">
        <v>72</v>
      </c>
      <c r="C55" s="5">
        <v>10</v>
      </c>
    </row>
    <row r="56" spans="1:144" ht="16" x14ac:dyDescent="0.2">
      <c r="B56" s="10" t="s">
        <v>35</v>
      </c>
      <c r="C56" s="12"/>
    </row>
    <row r="58" spans="1:144" ht="16" x14ac:dyDescent="0.2">
      <c r="B58" s="6" t="s">
        <v>34</v>
      </c>
      <c r="C58" s="57">
        <v>1199.5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7AA0-500B-40F8-9074-4A3F5F0B5D52}">
  <dimension ref="A2:Z47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7.1640625" style="2" bestFit="1" customWidth="1"/>
    <col min="2" max="2" width="16.1640625" style="2" bestFit="1" customWidth="1"/>
    <col min="3" max="3" width="10.83203125" style="2" customWidth="1"/>
    <col min="4" max="4" width="6.5" style="2" bestFit="1" customWidth="1"/>
    <col min="5" max="5" width="19.83203125" style="2" customWidth="1"/>
    <col min="6" max="6" width="17.5" style="2" customWidth="1"/>
    <col min="7" max="7" width="13.1640625" style="2" customWidth="1"/>
    <col min="8" max="8" width="15" style="2" customWidth="1"/>
    <col min="9" max="9" width="17.5" style="2" customWidth="1"/>
    <col min="10" max="10" width="9.83203125" style="2" customWidth="1"/>
    <col min="11" max="11" width="10.33203125" style="2" customWidth="1"/>
    <col min="12" max="13" width="3" style="2" bestFit="1" customWidth="1"/>
    <col min="14" max="14" width="5.1640625" style="2" customWidth="1"/>
    <col min="15" max="15" width="3.83203125" style="2" customWidth="1"/>
    <col min="16" max="16" width="3" style="2" bestFit="1" customWidth="1"/>
    <col min="17" max="17" width="3.83203125" style="2" customWidth="1"/>
    <col min="18" max="18" width="3" style="2" bestFit="1" customWidth="1"/>
    <col min="19" max="19" width="3.83203125" style="2" customWidth="1"/>
    <col min="20" max="23" width="2" style="2" bestFit="1" customWidth="1"/>
    <col min="24" max="16384" width="8.83203125" style="2"/>
  </cols>
  <sheetData>
    <row r="2" spans="1:20" ht="32" x14ac:dyDescent="0.2">
      <c r="A2" s="1" t="s">
        <v>2</v>
      </c>
      <c r="B2" s="76" t="s">
        <v>94</v>
      </c>
      <c r="C2" s="4" t="s">
        <v>17</v>
      </c>
      <c r="D2" s="4">
        <v>14</v>
      </c>
      <c r="E2" s="4">
        <v>16</v>
      </c>
      <c r="F2" s="4">
        <v>15</v>
      </c>
      <c r="G2" s="4">
        <v>17</v>
      </c>
      <c r="H2" s="4">
        <v>13</v>
      </c>
      <c r="I2" s="4">
        <v>2</v>
      </c>
      <c r="J2" s="4">
        <v>3</v>
      </c>
      <c r="K2" s="4">
        <v>12</v>
      </c>
      <c r="L2" s="4">
        <v>11</v>
      </c>
      <c r="M2" s="4">
        <v>1</v>
      </c>
      <c r="N2" s="4">
        <v>4</v>
      </c>
      <c r="O2" s="4">
        <v>5</v>
      </c>
      <c r="P2" s="4">
        <v>6</v>
      </c>
      <c r="Q2" s="4">
        <v>7</v>
      </c>
      <c r="R2" s="4">
        <v>10</v>
      </c>
      <c r="S2" s="4">
        <v>8</v>
      </c>
      <c r="T2" s="5">
        <v>9</v>
      </c>
    </row>
    <row r="3" spans="1:20" ht="32" x14ac:dyDescent="0.2">
      <c r="B3" s="79" t="s">
        <v>93</v>
      </c>
      <c r="C3" s="2" t="s">
        <v>18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2</v>
      </c>
      <c r="J3" s="2">
        <v>2</v>
      </c>
      <c r="K3" s="2">
        <v>1</v>
      </c>
      <c r="L3" s="2">
        <v>1</v>
      </c>
      <c r="M3" s="2">
        <v>2</v>
      </c>
      <c r="N3" s="2">
        <v>2</v>
      </c>
      <c r="O3" s="2">
        <v>2</v>
      </c>
      <c r="P3" s="2">
        <v>2</v>
      </c>
      <c r="Q3" s="2">
        <v>2</v>
      </c>
      <c r="R3" s="2">
        <v>1</v>
      </c>
      <c r="S3" s="2">
        <v>2</v>
      </c>
      <c r="T3" s="9">
        <v>1</v>
      </c>
    </row>
    <row r="4" spans="1:20" ht="16" x14ac:dyDescent="0.2">
      <c r="B4" s="75"/>
      <c r="C4" s="2" t="s">
        <v>19</v>
      </c>
      <c r="D4" s="2">
        <v>2</v>
      </c>
      <c r="E4" s="2">
        <v>2</v>
      </c>
      <c r="F4" s="2">
        <v>2</v>
      </c>
      <c r="G4" s="2">
        <v>2</v>
      </c>
      <c r="H4" s="2">
        <v>4</v>
      </c>
      <c r="I4" s="2">
        <v>1</v>
      </c>
      <c r="J4" s="2">
        <v>1</v>
      </c>
      <c r="K4" s="2">
        <v>3</v>
      </c>
      <c r="L4" s="2">
        <v>4</v>
      </c>
      <c r="M4" s="2">
        <v>1</v>
      </c>
      <c r="N4" s="2">
        <v>3</v>
      </c>
      <c r="O4" s="2">
        <v>3</v>
      </c>
      <c r="P4" s="2">
        <v>4</v>
      </c>
      <c r="Q4" s="2">
        <v>3</v>
      </c>
      <c r="R4" s="2">
        <v>4</v>
      </c>
      <c r="S4" s="2">
        <v>4</v>
      </c>
      <c r="T4" s="9">
        <v>3</v>
      </c>
    </row>
    <row r="5" spans="1:20" ht="32" x14ac:dyDescent="0.2">
      <c r="B5" s="75"/>
      <c r="C5" s="58" t="s">
        <v>95</v>
      </c>
      <c r="D5" s="2">
        <v>6</v>
      </c>
      <c r="T5" s="9"/>
    </row>
    <row r="6" spans="1:20" ht="32" x14ac:dyDescent="0.2">
      <c r="B6" s="75"/>
      <c r="C6" s="58" t="s">
        <v>96</v>
      </c>
      <c r="D6" s="2">
        <v>15</v>
      </c>
      <c r="T6" s="9"/>
    </row>
    <row r="7" spans="1:20" ht="32" x14ac:dyDescent="0.2">
      <c r="B7" s="75"/>
      <c r="C7" s="58" t="s">
        <v>97</v>
      </c>
      <c r="D7" s="58">
        <v>914</v>
      </c>
      <c r="T7" s="9"/>
    </row>
    <row r="8" spans="1:20" ht="32" x14ac:dyDescent="0.2">
      <c r="B8" s="31"/>
      <c r="C8" s="61" t="s">
        <v>98</v>
      </c>
      <c r="D8" s="61">
        <v>103.166666666667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</row>
    <row r="10" spans="1:20" ht="16" x14ac:dyDescent="0.2">
      <c r="B10" s="6" t="s">
        <v>99</v>
      </c>
      <c r="C10" s="7">
        <v>500</v>
      </c>
      <c r="E10" s="6" t="s">
        <v>105</v>
      </c>
      <c r="F10" s="7">
        <v>1</v>
      </c>
    </row>
    <row r="12" spans="1:20" x14ac:dyDescent="0.2">
      <c r="B12" s="76" t="s">
        <v>100</v>
      </c>
      <c r="C12" s="5">
        <v>0</v>
      </c>
    </row>
    <row r="13" spans="1:20" ht="16" x14ac:dyDescent="0.2">
      <c r="B13" s="8" t="s">
        <v>101</v>
      </c>
      <c r="C13" s="9">
        <v>0</v>
      </c>
    </row>
    <row r="14" spans="1:20" ht="16" x14ac:dyDescent="0.2">
      <c r="B14" s="8" t="s">
        <v>103</v>
      </c>
      <c r="C14" s="9" t="s">
        <v>102</v>
      </c>
    </row>
    <row r="15" spans="1:20" x14ac:dyDescent="0.2">
      <c r="B15" s="10"/>
      <c r="C15" s="12">
        <v>0</v>
      </c>
    </row>
    <row r="16" spans="1:20" ht="16" thickBot="1" x14ac:dyDescent="0.25"/>
    <row r="17" spans="1:26" ht="33" thickBot="1" x14ac:dyDescent="0.25">
      <c r="A17" s="1" t="s">
        <v>3</v>
      </c>
      <c r="B17" s="106" t="s">
        <v>104</v>
      </c>
      <c r="C17" s="12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8"/>
    </row>
    <row r="18" spans="1:26" ht="30" x14ac:dyDescent="0.2">
      <c r="B18" s="127" t="s">
        <v>106</v>
      </c>
      <c r="C18" s="13">
        <v>500</v>
      </c>
      <c r="D18" s="13">
        <v>50</v>
      </c>
      <c r="E18" s="13">
        <v>1</v>
      </c>
      <c r="F18" s="7">
        <v>1</v>
      </c>
      <c r="Z18" s="19"/>
    </row>
    <row r="19" spans="1:26" ht="16" thickBot="1" x14ac:dyDescent="0.25">
      <c r="B19" s="20"/>
      <c r="Z19" s="19"/>
    </row>
    <row r="20" spans="1:26" ht="48" x14ac:dyDescent="0.2">
      <c r="B20" s="20"/>
      <c r="C20" s="24" t="s">
        <v>143</v>
      </c>
      <c r="D20" s="18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8"/>
    </row>
    <row r="21" spans="1:26" ht="31" thickBot="1" x14ac:dyDescent="0.25">
      <c r="B21" s="20"/>
      <c r="C21" s="117" t="s">
        <v>107</v>
      </c>
      <c r="D21" s="30" t="s">
        <v>20</v>
      </c>
      <c r="Z21" s="19"/>
    </row>
    <row r="22" spans="1:26" ht="33" thickBot="1" x14ac:dyDescent="0.25">
      <c r="B22" s="20"/>
      <c r="C22" s="20"/>
      <c r="E22" s="106" t="s">
        <v>144</v>
      </c>
      <c r="Z22" s="19"/>
    </row>
    <row r="23" spans="1:26" ht="32" x14ac:dyDescent="0.2">
      <c r="B23" s="20"/>
      <c r="C23" s="20"/>
      <c r="E23" s="125" t="s">
        <v>146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Z23" s="19"/>
    </row>
    <row r="24" spans="1:26" ht="30" x14ac:dyDescent="0.2">
      <c r="B24" s="20"/>
      <c r="C24" s="20"/>
      <c r="E24" s="118" t="s">
        <v>145</v>
      </c>
      <c r="F24" s="83" t="s">
        <v>122</v>
      </c>
      <c r="G24" s="4">
        <v>2</v>
      </c>
      <c r="H24" s="4">
        <v>3</v>
      </c>
      <c r="I24" s="4">
        <v>14</v>
      </c>
      <c r="J24" s="4">
        <v>15</v>
      </c>
      <c r="K24" s="4">
        <v>17</v>
      </c>
      <c r="L24" s="4">
        <v>16</v>
      </c>
      <c r="M24" s="4">
        <v>13</v>
      </c>
      <c r="N24" s="4">
        <v>12</v>
      </c>
      <c r="O24" s="4">
        <v>1</v>
      </c>
      <c r="P24" s="91">
        <v>11</v>
      </c>
      <c r="Q24" s="91">
        <v>5</v>
      </c>
      <c r="R24" s="91">
        <v>10</v>
      </c>
      <c r="S24" s="91">
        <v>4</v>
      </c>
      <c r="T24" s="91">
        <v>9</v>
      </c>
      <c r="U24" s="91">
        <v>6</v>
      </c>
      <c r="V24" s="4">
        <v>7</v>
      </c>
      <c r="W24" s="5">
        <v>8</v>
      </c>
      <c r="Z24" s="19"/>
    </row>
    <row r="25" spans="1:26" ht="16" x14ac:dyDescent="0.2">
      <c r="B25" s="20"/>
      <c r="C25" s="20"/>
      <c r="E25" s="10"/>
      <c r="F25" s="63" t="s">
        <v>124</v>
      </c>
      <c r="G25" s="11">
        <v>2</v>
      </c>
      <c r="H25" s="11">
        <v>2</v>
      </c>
      <c r="I25" s="11">
        <v>1</v>
      </c>
      <c r="J25" s="11">
        <v>1</v>
      </c>
      <c r="K25" s="11">
        <v>1</v>
      </c>
      <c r="L25" s="11">
        <v>1</v>
      </c>
      <c r="M25" s="11">
        <v>1</v>
      </c>
      <c r="N25" s="11">
        <v>1</v>
      </c>
      <c r="O25" s="11">
        <v>2</v>
      </c>
      <c r="P25" s="109">
        <v>1</v>
      </c>
      <c r="Q25" s="109">
        <v>2</v>
      </c>
      <c r="R25" s="109">
        <v>1</v>
      </c>
      <c r="S25" s="109">
        <v>2</v>
      </c>
      <c r="T25" s="109">
        <v>1</v>
      </c>
      <c r="U25" s="109">
        <v>2</v>
      </c>
      <c r="V25" s="11">
        <v>2</v>
      </c>
      <c r="W25" s="12">
        <v>1</v>
      </c>
      <c r="Z25" s="19"/>
    </row>
    <row r="26" spans="1:26" x14ac:dyDescent="0.2">
      <c r="B26" s="20"/>
      <c r="C26" s="20"/>
      <c r="Z26" s="19"/>
    </row>
    <row r="27" spans="1:26" ht="39.5" customHeight="1" x14ac:dyDescent="0.2">
      <c r="B27" s="20"/>
      <c r="C27" s="20"/>
      <c r="E27" s="110" t="s">
        <v>147</v>
      </c>
      <c r="F27" s="83" t="s">
        <v>157</v>
      </c>
      <c r="G27" s="4"/>
      <c r="H27" s="4"/>
      <c r="I27" s="4"/>
      <c r="J27" s="4"/>
      <c r="K27" s="5"/>
      <c r="Z27" s="19"/>
    </row>
    <row r="28" spans="1:26" ht="49.25" customHeight="1" x14ac:dyDescent="0.2">
      <c r="B28" s="20"/>
      <c r="C28" s="20"/>
      <c r="E28" s="10"/>
      <c r="F28" s="11"/>
      <c r="G28" s="90" t="s">
        <v>152</v>
      </c>
      <c r="H28" s="7" t="s">
        <v>153</v>
      </c>
      <c r="I28" s="11"/>
      <c r="J28" s="90" t="s">
        <v>154</v>
      </c>
      <c r="K28" s="7" t="s">
        <v>155</v>
      </c>
      <c r="Z28" s="19"/>
    </row>
    <row r="29" spans="1:26" x14ac:dyDescent="0.2">
      <c r="B29" s="20"/>
      <c r="C29" s="20"/>
      <c r="Z29" s="19"/>
    </row>
    <row r="30" spans="1:26" ht="16" x14ac:dyDescent="0.2">
      <c r="B30" s="20"/>
      <c r="C30" s="20"/>
      <c r="E30" s="112" t="s">
        <v>156</v>
      </c>
      <c r="F30" s="83" t="s">
        <v>157</v>
      </c>
      <c r="G30" s="15">
        <v>1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6"/>
    </row>
    <row r="31" spans="1:26" ht="32" x14ac:dyDescent="0.2">
      <c r="B31" s="20"/>
      <c r="C31" s="20"/>
      <c r="E31" s="113" t="s">
        <v>158</v>
      </c>
      <c r="F31" s="111" t="s">
        <v>146</v>
      </c>
      <c r="G31" s="9"/>
      <c r="Z31" s="19"/>
    </row>
    <row r="32" spans="1:26" ht="32" x14ac:dyDescent="0.2">
      <c r="B32" s="20"/>
      <c r="C32" s="20"/>
      <c r="E32" s="10"/>
      <c r="F32" s="114" t="s">
        <v>147</v>
      </c>
      <c r="G32" s="115" t="s">
        <v>157</v>
      </c>
      <c r="Z32" s="19"/>
    </row>
    <row r="33" spans="2:26" ht="16" x14ac:dyDescent="0.2">
      <c r="B33" s="20"/>
      <c r="C33" s="20"/>
      <c r="E33" s="8"/>
      <c r="H33" s="116" t="s">
        <v>93</v>
      </c>
      <c r="I33" s="6" t="s">
        <v>123</v>
      </c>
      <c r="J33" s="13">
        <v>2</v>
      </c>
      <c r="K33" s="13">
        <v>14</v>
      </c>
      <c r="L33" s="13">
        <v>16</v>
      </c>
      <c r="M33" s="13">
        <v>15</v>
      </c>
      <c r="N33" s="13">
        <v>17</v>
      </c>
      <c r="O33" s="13">
        <v>3</v>
      </c>
      <c r="P33" s="89">
        <v>13</v>
      </c>
      <c r="Q33" s="13">
        <v>12</v>
      </c>
      <c r="R33" s="13">
        <v>11</v>
      </c>
      <c r="S33" s="13">
        <v>10</v>
      </c>
      <c r="T33" s="13">
        <v>1</v>
      </c>
      <c r="U33" s="13">
        <v>4</v>
      </c>
      <c r="V33" s="13">
        <v>9</v>
      </c>
      <c r="W33" s="13">
        <v>8</v>
      </c>
      <c r="X33" s="13">
        <v>5</v>
      </c>
      <c r="Y33" s="13">
        <v>6</v>
      </c>
      <c r="Z33" s="123">
        <v>7</v>
      </c>
    </row>
    <row r="34" spans="2:26" ht="16" x14ac:dyDescent="0.2">
      <c r="B34" s="20"/>
      <c r="C34" s="20"/>
      <c r="E34" s="8"/>
      <c r="H34" s="75" t="s">
        <v>163</v>
      </c>
      <c r="I34" s="6" t="s">
        <v>5</v>
      </c>
      <c r="J34" s="13">
        <v>2</v>
      </c>
      <c r="K34" s="13">
        <v>1</v>
      </c>
      <c r="L34" s="13">
        <v>1</v>
      </c>
      <c r="M34" s="13">
        <v>1</v>
      </c>
      <c r="N34" s="13">
        <v>1</v>
      </c>
      <c r="O34" s="13">
        <v>2</v>
      </c>
      <c r="P34" s="89">
        <v>1</v>
      </c>
      <c r="Q34" s="13">
        <v>1</v>
      </c>
      <c r="R34" s="13">
        <v>1</v>
      </c>
      <c r="S34" s="13">
        <v>1</v>
      </c>
      <c r="T34" s="13">
        <v>2</v>
      </c>
      <c r="U34" s="13">
        <v>2</v>
      </c>
      <c r="V34" s="13">
        <v>1</v>
      </c>
      <c r="W34" s="13">
        <v>1</v>
      </c>
      <c r="X34" s="13">
        <v>2</v>
      </c>
      <c r="Y34" s="13">
        <v>2</v>
      </c>
      <c r="Z34" s="123">
        <v>1</v>
      </c>
    </row>
    <row r="35" spans="2:26" ht="16" x14ac:dyDescent="0.2">
      <c r="B35" s="20"/>
      <c r="C35" s="20"/>
      <c r="E35" s="8"/>
      <c r="H35" s="8"/>
      <c r="I35" s="90" t="s">
        <v>32</v>
      </c>
      <c r="J35" s="13">
        <v>1</v>
      </c>
      <c r="K35" s="13">
        <v>2</v>
      </c>
      <c r="L35" s="13">
        <v>2</v>
      </c>
      <c r="M35" s="13">
        <v>2</v>
      </c>
      <c r="N35" s="13">
        <v>2</v>
      </c>
      <c r="O35" s="13">
        <v>1</v>
      </c>
      <c r="P35" s="13">
        <v>4</v>
      </c>
      <c r="Q35" s="13">
        <v>3</v>
      </c>
      <c r="R35" s="13">
        <v>4</v>
      </c>
      <c r="S35" s="13">
        <v>4</v>
      </c>
      <c r="T35" s="13">
        <v>1</v>
      </c>
      <c r="U35" s="13">
        <v>3</v>
      </c>
      <c r="V35" s="13">
        <v>3</v>
      </c>
      <c r="W35" s="13">
        <v>4</v>
      </c>
      <c r="X35" s="13">
        <v>3</v>
      </c>
      <c r="Y35" s="13">
        <v>4</v>
      </c>
      <c r="Z35" s="21">
        <v>3</v>
      </c>
    </row>
    <row r="36" spans="2:26" ht="16" x14ac:dyDescent="0.2">
      <c r="B36" s="20"/>
      <c r="C36" s="20"/>
      <c r="E36" s="8"/>
      <c r="H36" s="8"/>
      <c r="I36" s="90" t="s">
        <v>159</v>
      </c>
      <c r="J36" s="7">
        <v>7</v>
      </c>
      <c r="Z36" s="19"/>
    </row>
    <row r="37" spans="2:26" ht="16" x14ac:dyDescent="0.2">
      <c r="B37" s="20"/>
      <c r="C37" s="20"/>
      <c r="E37" s="8"/>
      <c r="H37" s="8"/>
      <c r="I37" s="90" t="s">
        <v>160</v>
      </c>
      <c r="J37" s="7">
        <v>14</v>
      </c>
      <c r="Z37" s="19"/>
    </row>
    <row r="38" spans="2:26" ht="16" x14ac:dyDescent="0.2">
      <c r="B38" s="20"/>
      <c r="C38" s="20"/>
      <c r="E38" s="8"/>
      <c r="H38" s="8"/>
      <c r="I38" s="90" t="s">
        <v>34</v>
      </c>
      <c r="J38" s="57">
        <v>1172.7</v>
      </c>
      <c r="Z38" s="19"/>
    </row>
    <row r="39" spans="2:26" ht="16" x14ac:dyDescent="0.2">
      <c r="B39" s="20"/>
      <c r="C39" s="20"/>
      <c r="E39" s="10"/>
      <c r="F39" s="11"/>
      <c r="G39" s="11"/>
      <c r="H39" s="10"/>
      <c r="I39" s="90" t="s">
        <v>161</v>
      </c>
      <c r="J39" s="57">
        <v>125.72499999999999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48"/>
    </row>
    <row r="40" spans="2:26" x14ac:dyDescent="0.2">
      <c r="B40" s="20"/>
      <c r="C40" s="20"/>
      <c r="Z40" s="19"/>
    </row>
    <row r="41" spans="2:26" ht="30" x14ac:dyDescent="0.2">
      <c r="B41" s="20"/>
      <c r="C41" s="20"/>
      <c r="E41" s="104" t="s">
        <v>110</v>
      </c>
      <c r="F41" s="119" t="s">
        <v>164</v>
      </c>
      <c r="G41" s="122" t="s">
        <v>165</v>
      </c>
      <c r="H41" s="83" t="s">
        <v>123</v>
      </c>
      <c r="I41" s="4">
        <v>2</v>
      </c>
      <c r="J41" s="4">
        <v>14</v>
      </c>
      <c r="K41" s="4">
        <v>16</v>
      </c>
      <c r="L41" s="4">
        <v>15</v>
      </c>
      <c r="M41" s="4">
        <v>17</v>
      </c>
      <c r="N41" s="4">
        <v>3</v>
      </c>
      <c r="O41" s="91">
        <v>13</v>
      </c>
      <c r="P41" s="4">
        <v>12</v>
      </c>
      <c r="Q41" s="4">
        <v>11</v>
      </c>
      <c r="R41" s="4">
        <v>10</v>
      </c>
      <c r="S41" s="4">
        <v>1</v>
      </c>
      <c r="T41" s="4">
        <v>4</v>
      </c>
      <c r="U41" s="4">
        <v>9</v>
      </c>
      <c r="V41" s="4">
        <v>8</v>
      </c>
      <c r="W41" s="4">
        <v>5</v>
      </c>
      <c r="X41" s="4">
        <v>6</v>
      </c>
      <c r="Y41" s="120">
        <v>7</v>
      </c>
      <c r="Z41" s="19"/>
    </row>
    <row r="42" spans="2:26" ht="16" x14ac:dyDescent="0.2">
      <c r="B42" s="20"/>
      <c r="C42" s="20"/>
      <c r="G42" s="8"/>
      <c r="H42" s="16" t="s">
        <v>5</v>
      </c>
      <c r="I42" s="2">
        <v>2</v>
      </c>
      <c r="J42" s="2">
        <v>1</v>
      </c>
      <c r="K42" s="2">
        <v>1</v>
      </c>
      <c r="L42" s="2">
        <v>1</v>
      </c>
      <c r="M42" s="2">
        <v>1</v>
      </c>
      <c r="N42" s="2">
        <v>2</v>
      </c>
      <c r="O42" s="80">
        <v>1</v>
      </c>
      <c r="P42" s="2">
        <v>1</v>
      </c>
      <c r="Q42" s="2">
        <v>1</v>
      </c>
      <c r="R42" s="2">
        <v>1</v>
      </c>
      <c r="S42" s="2">
        <v>2</v>
      </c>
      <c r="T42" s="2">
        <v>2</v>
      </c>
      <c r="U42" s="2">
        <v>1</v>
      </c>
      <c r="V42" s="2">
        <v>1</v>
      </c>
      <c r="W42" s="2">
        <v>2</v>
      </c>
      <c r="X42" s="2">
        <v>2</v>
      </c>
      <c r="Y42" s="121">
        <v>1</v>
      </c>
      <c r="Z42" s="19"/>
    </row>
    <row r="43" spans="2:26" ht="16" x14ac:dyDescent="0.2">
      <c r="B43" s="20"/>
      <c r="C43" s="20"/>
      <c r="G43" s="8"/>
      <c r="H43" s="2" t="s">
        <v>32</v>
      </c>
      <c r="I43" s="2">
        <v>1</v>
      </c>
      <c r="J43" s="2">
        <v>2</v>
      </c>
      <c r="K43" s="2">
        <v>2</v>
      </c>
      <c r="L43" s="2">
        <v>2</v>
      </c>
      <c r="M43" s="2">
        <v>2</v>
      </c>
      <c r="N43" s="2">
        <v>1</v>
      </c>
      <c r="O43" s="2">
        <v>4</v>
      </c>
      <c r="P43" s="2">
        <v>3</v>
      </c>
      <c r="Q43" s="2">
        <v>4</v>
      </c>
      <c r="R43" s="2">
        <v>4</v>
      </c>
      <c r="S43" s="2">
        <v>1</v>
      </c>
      <c r="T43" s="2">
        <v>3</v>
      </c>
      <c r="U43" s="2">
        <v>3</v>
      </c>
      <c r="V43" s="2">
        <v>4</v>
      </c>
      <c r="W43" s="2">
        <v>3</v>
      </c>
      <c r="X43" s="2">
        <v>4</v>
      </c>
      <c r="Y43" s="9">
        <v>3</v>
      </c>
      <c r="Z43" s="19"/>
    </row>
    <row r="44" spans="2:26" ht="16" x14ac:dyDescent="0.2">
      <c r="B44" s="20"/>
      <c r="C44" s="20"/>
      <c r="G44" s="8"/>
      <c r="H44" s="2" t="s">
        <v>159</v>
      </c>
      <c r="I44" s="2">
        <v>7</v>
      </c>
      <c r="Y44" s="9"/>
      <c r="Z44" s="19"/>
    </row>
    <row r="45" spans="2:26" ht="16" x14ac:dyDescent="0.2">
      <c r="B45" s="20"/>
      <c r="C45" s="20"/>
      <c r="G45" s="8"/>
      <c r="H45" s="2" t="s">
        <v>160</v>
      </c>
      <c r="I45" s="2">
        <v>14</v>
      </c>
      <c r="Y45" s="9"/>
      <c r="Z45" s="19"/>
    </row>
    <row r="46" spans="2:26" ht="16" x14ac:dyDescent="0.2">
      <c r="B46" s="20"/>
      <c r="C46" s="20"/>
      <c r="G46" s="8"/>
      <c r="H46" s="2" t="s">
        <v>34</v>
      </c>
      <c r="I46" s="58">
        <v>1172.7</v>
      </c>
      <c r="Y46" s="9"/>
      <c r="Z46" s="19"/>
    </row>
    <row r="47" spans="2:26" ht="17" thickBot="1" x14ac:dyDescent="0.25">
      <c r="B47" s="22"/>
      <c r="C47" s="22"/>
      <c r="D47" s="29"/>
      <c r="E47" s="29"/>
      <c r="F47" s="29"/>
      <c r="G47" s="49"/>
      <c r="H47" s="29" t="s">
        <v>161</v>
      </c>
      <c r="I47" s="124">
        <v>125.72499999999999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43"/>
      <c r="Z47" s="30"/>
    </row>
  </sheetData>
  <hyperlinks>
    <hyperlink ref="E23" location="'@Func4@PerformBeeDance_swap'!A1" display="@Func4@PerformBeeDance_swap" xr:uid="{CDECDC18-50E1-4C4E-A9B5-D8E576BDEE0C}"/>
    <hyperlink ref="E27" location="'@Func5@checkfeasibility'!A1" display="@Func5@checkfeasibility" xr:uid="{3C62CE88-7C5E-42BB-B156-12E88FF36E84}"/>
    <hyperlink ref="F31" location="'@Func4@PerformBeeDance_swap'!A1" display="@Func4@PerformBeeDance_swap" xr:uid="{DBCF8FB8-82DF-4A49-84D2-18B769F2EEA6}"/>
    <hyperlink ref="F32" location="'@Func5@checkfeasibility'!A1" display="@Func5@checkfeasibility" xr:uid="{C1B58FC3-2E03-437C-AD67-175D120C818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B371-01B4-42D4-9C62-AEDB7E232504}">
  <dimension ref="A1:AN86"/>
  <sheetViews>
    <sheetView topLeftCell="A77" workbookViewId="0">
      <selection activeCell="AI9" sqref="AI9"/>
    </sheetView>
  </sheetViews>
  <sheetFormatPr baseColWidth="10" defaultColWidth="8.83203125" defaultRowHeight="15" x14ac:dyDescent="0.2"/>
  <cols>
    <col min="1" max="1" width="7.1640625" style="2" bestFit="1" customWidth="1"/>
    <col min="2" max="2" width="10.5" style="2" bestFit="1" customWidth="1"/>
    <col min="3" max="3" width="9.1640625" style="2" bestFit="1" customWidth="1"/>
    <col min="4" max="4" width="3" style="2" bestFit="1" customWidth="1"/>
    <col min="5" max="5" width="17.33203125" style="2" customWidth="1"/>
    <col min="6" max="6" width="25.5" style="2" bestFit="1" customWidth="1"/>
    <col min="7" max="7" width="18" style="2" customWidth="1"/>
    <col min="8" max="8" width="8.83203125" style="2" bestFit="1" customWidth="1"/>
    <col min="9" max="28" width="3" style="2" bestFit="1" customWidth="1"/>
    <col min="29" max="29" width="2" style="2" bestFit="1" customWidth="1"/>
    <col min="30" max="30" width="3" style="2" bestFit="1" customWidth="1"/>
    <col min="31" max="32" width="2" style="2" bestFit="1" customWidth="1"/>
    <col min="33" max="33" width="3" style="2" bestFit="1" customWidth="1"/>
    <col min="34" max="37" width="2" style="2" bestFit="1" customWidth="1"/>
    <col min="38" max="16384" width="8.83203125" style="2"/>
  </cols>
  <sheetData>
    <row r="1" spans="1:37" ht="16" x14ac:dyDescent="0.2">
      <c r="A1" s="1" t="s">
        <v>2</v>
      </c>
    </row>
    <row r="2" spans="1:37" ht="32" x14ac:dyDescent="0.2">
      <c r="B2" s="84" t="s">
        <v>28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5">
        <v>17</v>
      </c>
    </row>
    <row r="3" spans="1:37" ht="48" x14ac:dyDescent="0.2">
      <c r="B3" s="75" t="s">
        <v>4</v>
      </c>
      <c r="C3" s="2">
        <v>14</v>
      </c>
      <c r="D3" s="2">
        <v>16</v>
      </c>
      <c r="E3" s="2">
        <v>17</v>
      </c>
      <c r="F3" s="2">
        <v>15</v>
      </c>
      <c r="G3" s="2">
        <v>3</v>
      </c>
      <c r="H3" s="2">
        <v>2</v>
      </c>
      <c r="I3" s="2">
        <v>1</v>
      </c>
      <c r="J3" s="2">
        <v>4</v>
      </c>
      <c r="K3" s="2">
        <v>5</v>
      </c>
      <c r="L3" s="2">
        <v>13</v>
      </c>
      <c r="M3" s="2">
        <v>6</v>
      </c>
      <c r="N3" s="2">
        <v>12</v>
      </c>
      <c r="O3" s="2">
        <v>11</v>
      </c>
      <c r="P3" s="2">
        <v>10</v>
      </c>
      <c r="Q3" s="2">
        <v>7</v>
      </c>
      <c r="R3" s="2">
        <v>8</v>
      </c>
      <c r="S3" s="9">
        <v>9</v>
      </c>
      <c r="T3" s="90" t="s">
        <v>131</v>
      </c>
      <c r="U3" s="13">
        <v>2</v>
      </c>
      <c r="V3" s="13">
        <v>3</v>
      </c>
      <c r="W3" s="13">
        <v>14</v>
      </c>
      <c r="X3" s="13">
        <v>15</v>
      </c>
      <c r="Y3" s="13">
        <v>17</v>
      </c>
      <c r="Z3" s="13">
        <v>16</v>
      </c>
      <c r="AA3" s="13">
        <v>13</v>
      </c>
      <c r="AB3" s="13">
        <v>12</v>
      </c>
      <c r="AC3" s="13">
        <v>1</v>
      </c>
      <c r="AD3" s="13">
        <v>11</v>
      </c>
      <c r="AE3" s="13">
        <v>4</v>
      </c>
      <c r="AF3" s="13">
        <v>5</v>
      </c>
      <c r="AG3" s="13">
        <v>10</v>
      </c>
      <c r="AH3" s="13">
        <v>9</v>
      </c>
      <c r="AI3" s="13">
        <v>6</v>
      </c>
      <c r="AJ3" s="13">
        <v>7</v>
      </c>
      <c r="AK3" s="7">
        <v>8</v>
      </c>
    </row>
    <row r="4" spans="1:37" ht="48" x14ac:dyDescent="0.2">
      <c r="B4" s="75" t="s">
        <v>5</v>
      </c>
      <c r="C4" s="2">
        <v>1</v>
      </c>
      <c r="D4" s="2">
        <v>1</v>
      </c>
      <c r="E4" s="2">
        <v>1</v>
      </c>
      <c r="F4" s="2">
        <v>1</v>
      </c>
      <c r="G4" s="2">
        <v>2</v>
      </c>
      <c r="H4" s="2">
        <v>2</v>
      </c>
      <c r="I4" s="2">
        <v>2</v>
      </c>
      <c r="J4" s="2">
        <v>2</v>
      </c>
      <c r="K4" s="2">
        <v>2</v>
      </c>
      <c r="L4" s="2">
        <v>1</v>
      </c>
      <c r="M4" s="2">
        <v>2</v>
      </c>
      <c r="N4" s="2">
        <v>1</v>
      </c>
      <c r="O4" s="2">
        <v>1</v>
      </c>
      <c r="P4" s="2">
        <v>1</v>
      </c>
      <c r="Q4" s="2">
        <v>2</v>
      </c>
      <c r="R4" s="2">
        <v>2</v>
      </c>
      <c r="S4" s="9">
        <v>1</v>
      </c>
      <c r="T4" s="10" t="s">
        <v>131</v>
      </c>
      <c r="U4" s="11">
        <v>2</v>
      </c>
      <c r="V4" s="11">
        <v>2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1">
        <v>2</v>
      </c>
      <c r="AD4" s="11">
        <v>1</v>
      </c>
      <c r="AE4" s="11">
        <v>2</v>
      </c>
      <c r="AF4" s="11">
        <v>2</v>
      </c>
      <c r="AG4" s="11">
        <v>1</v>
      </c>
      <c r="AH4" s="11">
        <v>1</v>
      </c>
      <c r="AI4" s="11">
        <v>2</v>
      </c>
      <c r="AJ4" s="11">
        <v>2</v>
      </c>
      <c r="AK4" s="12">
        <v>1</v>
      </c>
    </row>
    <row r="5" spans="1:37" ht="16" x14ac:dyDescent="0.2">
      <c r="B5" s="31" t="s">
        <v>43</v>
      </c>
      <c r="C5" s="11">
        <v>17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</row>
    <row r="6" spans="1:37" x14ac:dyDescent="0.2">
      <c r="B6" s="16"/>
    </row>
    <row r="7" spans="1:37" ht="16" thickBot="1" x14ac:dyDescent="0.25"/>
    <row r="8" spans="1:37" ht="16" x14ac:dyDescent="0.2">
      <c r="A8" s="1" t="s">
        <v>3</v>
      </c>
      <c r="B8" s="94" t="s">
        <v>110</v>
      </c>
      <c r="C8" s="95" t="s">
        <v>108</v>
      </c>
      <c r="D8" s="18">
        <v>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8"/>
    </row>
    <row r="9" spans="1:37" ht="33" thickBot="1" x14ac:dyDescent="0.25">
      <c r="B9" s="22"/>
      <c r="C9" s="22" t="s">
        <v>109</v>
      </c>
      <c r="D9" s="92"/>
      <c r="Y9" s="19"/>
    </row>
    <row r="10" spans="1:37" ht="16" x14ac:dyDescent="0.2">
      <c r="B10" s="20"/>
      <c r="C10" s="80"/>
      <c r="E10" s="3" t="s">
        <v>111</v>
      </c>
      <c r="F10" s="4">
        <v>10</v>
      </c>
      <c r="G10" s="4">
        <v>3</v>
      </c>
      <c r="H10" s="4">
        <v>7</v>
      </c>
      <c r="I10" s="4">
        <v>14</v>
      </c>
      <c r="J10" s="4">
        <v>6</v>
      </c>
      <c r="K10" s="4">
        <v>12</v>
      </c>
      <c r="L10" s="4">
        <v>1</v>
      </c>
      <c r="M10" s="4">
        <v>9</v>
      </c>
      <c r="N10" s="4">
        <v>15</v>
      </c>
      <c r="O10" s="4">
        <v>2</v>
      </c>
      <c r="P10" s="4">
        <v>17</v>
      </c>
      <c r="Q10" s="4">
        <v>16</v>
      </c>
      <c r="R10" s="4">
        <v>4</v>
      </c>
      <c r="S10" s="4">
        <v>11</v>
      </c>
      <c r="T10" s="4">
        <v>13</v>
      </c>
      <c r="U10" s="4">
        <v>8</v>
      </c>
      <c r="V10" s="5">
        <v>5</v>
      </c>
      <c r="Y10" s="19"/>
    </row>
    <row r="11" spans="1:37" ht="16" x14ac:dyDescent="0.2">
      <c r="B11" s="20"/>
      <c r="C11" s="16"/>
      <c r="E11" s="8" t="s">
        <v>112</v>
      </c>
      <c r="V11" s="9"/>
      <c r="Y11" s="19"/>
    </row>
    <row r="12" spans="1:37" ht="96" x14ac:dyDescent="0.2">
      <c r="B12" s="20"/>
      <c r="C12" s="16"/>
      <c r="D12" s="58"/>
      <c r="E12" s="10" t="s">
        <v>113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2"/>
      <c r="Y12" s="19"/>
    </row>
    <row r="13" spans="1:37" x14ac:dyDescent="0.2">
      <c r="B13" s="20"/>
      <c r="C13" s="16"/>
      <c r="D13" s="58"/>
      <c r="Y13" s="19"/>
    </row>
    <row r="14" spans="1:37" ht="16" x14ac:dyDescent="0.2">
      <c r="B14" s="20"/>
      <c r="C14" s="16"/>
      <c r="D14" s="58"/>
      <c r="E14" s="6" t="s">
        <v>114</v>
      </c>
      <c r="F14" s="7">
        <v>10</v>
      </c>
      <c r="Y14" s="19"/>
    </row>
    <row r="15" spans="1:37" x14ac:dyDescent="0.2">
      <c r="B15" s="20"/>
      <c r="C15" s="16"/>
      <c r="D15" s="58"/>
      <c r="Y15" s="19"/>
    </row>
    <row r="16" spans="1:37" ht="16" x14ac:dyDescent="0.2">
      <c r="B16" s="20"/>
      <c r="E16" s="82" t="s">
        <v>115</v>
      </c>
      <c r="F16" s="7">
        <v>3</v>
      </c>
      <c r="Y16" s="19"/>
    </row>
    <row r="17" spans="2:25" x14ac:dyDescent="0.2">
      <c r="B17" s="20"/>
      <c r="Y17" s="19"/>
    </row>
    <row r="18" spans="2:25" x14ac:dyDescent="0.2">
      <c r="B18" s="20"/>
      <c r="Y18" s="19"/>
    </row>
    <row r="19" spans="2:25" ht="16" x14ac:dyDescent="0.2">
      <c r="B19" s="20"/>
      <c r="E19" s="85" t="s">
        <v>116</v>
      </c>
      <c r="F19" s="5">
        <v>13</v>
      </c>
      <c r="Y19" s="19"/>
    </row>
    <row r="20" spans="2:25" ht="32" x14ac:dyDescent="0.2">
      <c r="B20" s="20"/>
      <c r="E20" s="10" t="s">
        <v>117</v>
      </c>
      <c r="F20" s="12"/>
      <c r="Y20" s="19"/>
    </row>
    <row r="21" spans="2:25" x14ac:dyDescent="0.2">
      <c r="B21" s="20"/>
      <c r="Y21" s="19"/>
    </row>
    <row r="22" spans="2:25" ht="16" x14ac:dyDescent="0.2">
      <c r="B22" s="20"/>
      <c r="E22" s="85" t="s">
        <v>118</v>
      </c>
      <c r="F22" s="5">
        <v>1</v>
      </c>
      <c r="Y22" s="19"/>
    </row>
    <row r="23" spans="2:25" ht="32" x14ac:dyDescent="0.2">
      <c r="B23" s="20"/>
      <c r="E23" s="10" t="s">
        <v>119</v>
      </c>
      <c r="F23" s="12"/>
      <c r="Y23" s="19"/>
    </row>
    <row r="24" spans="2:25" x14ac:dyDescent="0.2">
      <c r="B24" s="20"/>
      <c r="Y24" s="19"/>
    </row>
    <row r="25" spans="2:25" ht="32" x14ac:dyDescent="0.2">
      <c r="B25" s="20"/>
      <c r="E25" s="3" t="s">
        <v>117</v>
      </c>
      <c r="F25" s="5">
        <v>17</v>
      </c>
      <c r="H25" s="87" t="s">
        <v>4</v>
      </c>
      <c r="I25" s="13">
        <v>14</v>
      </c>
      <c r="J25" s="13">
        <v>16</v>
      </c>
      <c r="K25" s="13">
        <v>17</v>
      </c>
      <c r="L25" s="13">
        <v>15</v>
      </c>
      <c r="M25" s="13">
        <v>3</v>
      </c>
      <c r="N25" s="13">
        <v>2</v>
      </c>
      <c r="O25" s="13">
        <v>1</v>
      </c>
      <c r="P25" s="13">
        <v>4</v>
      </c>
      <c r="Q25" s="13">
        <v>5</v>
      </c>
      <c r="R25" s="88">
        <v>17</v>
      </c>
      <c r="S25" s="13">
        <v>6</v>
      </c>
      <c r="T25" s="13">
        <v>12</v>
      </c>
      <c r="U25" s="13">
        <v>11</v>
      </c>
      <c r="V25" s="13">
        <v>10</v>
      </c>
      <c r="W25" s="13">
        <v>7</v>
      </c>
      <c r="X25" s="13">
        <v>8</v>
      </c>
      <c r="Y25" s="21">
        <v>9</v>
      </c>
    </row>
    <row r="26" spans="2:25" ht="32" x14ac:dyDescent="0.2">
      <c r="B26" s="20"/>
      <c r="E26" s="86" t="s">
        <v>120</v>
      </c>
      <c r="F26" s="12"/>
      <c r="Y26" s="19"/>
    </row>
    <row r="27" spans="2:25" x14ac:dyDescent="0.2">
      <c r="B27" s="20"/>
      <c r="Y27" s="19"/>
    </row>
    <row r="28" spans="2:25" ht="32" x14ac:dyDescent="0.2">
      <c r="B28" s="20"/>
      <c r="E28" s="3" t="s">
        <v>119</v>
      </c>
      <c r="F28" s="5">
        <v>1</v>
      </c>
      <c r="H28" s="87" t="s">
        <v>5</v>
      </c>
      <c r="I28" s="13">
        <v>1</v>
      </c>
      <c r="J28" s="13">
        <v>1</v>
      </c>
      <c r="K28" s="13">
        <v>1</v>
      </c>
      <c r="L28" s="13">
        <v>1</v>
      </c>
      <c r="M28" s="13">
        <v>2</v>
      </c>
      <c r="N28" s="13">
        <v>2</v>
      </c>
      <c r="O28" s="13">
        <v>2</v>
      </c>
      <c r="P28" s="13">
        <v>2</v>
      </c>
      <c r="Q28" s="13">
        <v>2</v>
      </c>
      <c r="R28" s="88">
        <v>1</v>
      </c>
      <c r="S28" s="13">
        <v>2</v>
      </c>
      <c r="T28" s="13">
        <v>1</v>
      </c>
      <c r="U28" s="13">
        <v>1</v>
      </c>
      <c r="V28" s="13">
        <v>1</v>
      </c>
      <c r="W28" s="13">
        <v>2</v>
      </c>
      <c r="X28" s="13">
        <v>2</v>
      </c>
      <c r="Y28" s="21">
        <v>1</v>
      </c>
    </row>
    <row r="29" spans="2:25" ht="32" x14ac:dyDescent="0.2">
      <c r="B29" s="20"/>
      <c r="E29" s="86" t="s">
        <v>121</v>
      </c>
      <c r="F29" s="12"/>
      <c r="Y29" s="19"/>
    </row>
    <row r="30" spans="2:25" x14ac:dyDescent="0.2">
      <c r="B30" s="20"/>
      <c r="Y30" s="19"/>
    </row>
    <row r="31" spans="2:25" ht="32" x14ac:dyDescent="0.2">
      <c r="B31" s="20"/>
      <c r="E31" s="3" t="s">
        <v>120</v>
      </c>
      <c r="F31" s="5">
        <v>13</v>
      </c>
      <c r="H31" s="87" t="s">
        <v>4</v>
      </c>
      <c r="I31" s="13">
        <v>14</v>
      </c>
      <c r="J31" s="13">
        <v>16</v>
      </c>
      <c r="K31" s="88">
        <v>13</v>
      </c>
      <c r="L31" s="13">
        <v>15</v>
      </c>
      <c r="M31" s="13">
        <v>3</v>
      </c>
      <c r="N31" s="13">
        <v>2</v>
      </c>
      <c r="O31" s="13">
        <v>1</v>
      </c>
      <c r="P31" s="13">
        <v>4</v>
      </c>
      <c r="Q31" s="13">
        <v>5</v>
      </c>
      <c r="R31" s="89">
        <v>17</v>
      </c>
      <c r="S31" s="13">
        <v>6</v>
      </c>
      <c r="T31" s="13">
        <v>12</v>
      </c>
      <c r="U31" s="13">
        <v>11</v>
      </c>
      <c r="V31" s="13">
        <v>10</v>
      </c>
      <c r="W31" s="13">
        <v>7</v>
      </c>
      <c r="X31" s="13">
        <v>8</v>
      </c>
      <c r="Y31" s="21">
        <v>9</v>
      </c>
    </row>
    <row r="32" spans="2:25" ht="16" x14ac:dyDescent="0.2">
      <c r="B32" s="20"/>
      <c r="E32" s="10" t="s">
        <v>116</v>
      </c>
      <c r="F32" s="12"/>
      <c r="Y32" s="19"/>
    </row>
    <row r="33" spans="2:29" x14ac:dyDescent="0.2">
      <c r="B33" s="20"/>
      <c r="Y33" s="19"/>
    </row>
    <row r="34" spans="2:29" ht="32" x14ac:dyDescent="0.2">
      <c r="B34" s="20"/>
      <c r="E34" s="3" t="s">
        <v>121</v>
      </c>
      <c r="F34" s="5">
        <v>1</v>
      </c>
      <c r="H34" s="87" t="s">
        <v>5</v>
      </c>
      <c r="I34" s="13">
        <v>1</v>
      </c>
      <c r="J34" s="13">
        <v>1</v>
      </c>
      <c r="K34" s="88">
        <v>1</v>
      </c>
      <c r="L34" s="13">
        <v>1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89">
        <v>1</v>
      </c>
      <c r="S34" s="13">
        <v>2</v>
      </c>
      <c r="T34" s="13">
        <v>1</v>
      </c>
      <c r="U34" s="13">
        <v>1</v>
      </c>
      <c r="V34" s="13">
        <v>1</v>
      </c>
      <c r="W34" s="13">
        <v>2</v>
      </c>
      <c r="X34" s="13">
        <v>2</v>
      </c>
      <c r="Y34" s="21">
        <v>1</v>
      </c>
    </row>
    <row r="35" spans="2:29" ht="16" x14ac:dyDescent="0.2">
      <c r="B35" s="20"/>
      <c r="E35" s="10" t="s">
        <v>118</v>
      </c>
      <c r="F35" s="12"/>
      <c r="Y35" s="19"/>
    </row>
    <row r="36" spans="2:29" x14ac:dyDescent="0.2">
      <c r="B36" s="20"/>
      <c r="Y36" s="19"/>
    </row>
    <row r="37" spans="2:29" ht="16" x14ac:dyDescent="0.2">
      <c r="B37" s="20"/>
      <c r="E37" s="3" t="s">
        <v>122</v>
      </c>
      <c r="F37" s="4">
        <v>14</v>
      </c>
      <c r="G37" s="4">
        <v>16</v>
      </c>
      <c r="H37" s="91">
        <v>13</v>
      </c>
      <c r="I37" s="4">
        <v>15</v>
      </c>
      <c r="J37" s="4">
        <v>3</v>
      </c>
      <c r="K37" s="4">
        <v>2</v>
      </c>
      <c r="L37" s="4">
        <v>1</v>
      </c>
      <c r="M37" s="4">
        <v>4</v>
      </c>
      <c r="N37" s="4">
        <v>5</v>
      </c>
      <c r="O37" s="91">
        <v>17</v>
      </c>
      <c r="P37" s="4">
        <v>6</v>
      </c>
      <c r="Q37" s="4">
        <v>12</v>
      </c>
      <c r="R37" s="4">
        <v>11</v>
      </c>
      <c r="S37" s="4">
        <v>10</v>
      </c>
      <c r="T37" s="4">
        <v>7</v>
      </c>
      <c r="U37" s="4">
        <v>8</v>
      </c>
      <c r="V37" s="5">
        <v>9</v>
      </c>
      <c r="Y37" s="19"/>
    </row>
    <row r="38" spans="2:29" ht="16" x14ac:dyDescent="0.2">
      <c r="B38" s="20"/>
      <c r="E38" s="10" t="s">
        <v>123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  <c r="Y38" s="19"/>
    </row>
    <row r="39" spans="2:29" x14ac:dyDescent="0.2">
      <c r="B39" s="20"/>
      <c r="Y39" s="19"/>
    </row>
    <row r="40" spans="2:29" ht="16" x14ac:dyDescent="0.2">
      <c r="B40" s="20"/>
      <c r="E40" s="3" t="s">
        <v>124</v>
      </c>
      <c r="F40" s="4">
        <v>1</v>
      </c>
      <c r="G40" s="4">
        <v>1</v>
      </c>
      <c r="H40" s="4">
        <v>1</v>
      </c>
      <c r="I40" s="4">
        <v>1</v>
      </c>
      <c r="J40" s="4">
        <v>2</v>
      </c>
      <c r="K40" s="4">
        <v>2</v>
      </c>
      <c r="L40" s="4">
        <v>2</v>
      </c>
      <c r="M40" s="4">
        <v>2</v>
      </c>
      <c r="N40" s="4">
        <v>2</v>
      </c>
      <c r="O40" s="91">
        <v>1</v>
      </c>
      <c r="P40" s="4">
        <v>2</v>
      </c>
      <c r="Q40" s="4">
        <v>1</v>
      </c>
      <c r="R40" s="4">
        <v>1</v>
      </c>
      <c r="S40" s="4">
        <v>1</v>
      </c>
      <c r="T40" s="4">
        <v>2</v>
      </c>
      <c r="U40" s="4">
        <v>2</v>
      </c>
      <c r="V40" s="5">
        <v>1</v>
      </c>
      <c r="Y40" s="19"/>
    </row>
    <row r="41" spans="2:29" ht="17" thickBot="1" x14ac:dyDescent="0.25">
      <c r="B41" s="22"/>
      <c r="C41" s="29"/>
      <c r="D41" s="29"/>
      <c r="E41" s="49" t="s">
        <v>5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43"/>
      <c r="W41" s="29"/>
      <c r="X41" s="29"/>
      <c r="Y41" s="30"/>
    </row>
    <row r="43" spans="2:29" ht="16" thickBot="1" x14ac:dyDescent="0.25"/>
    <row r="44" spans="2:29" ht="16" x14ac:dyDescent="0.2">
      <c r="B44" s="94" t="s">
        <v>110</v>
      </c>
      <c r="C44" s="95" t="s">
        <v>108</v>
      </c>
      <c r="D44" s="18">
        <v>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8"/>
    </row>
    <row r="45" spans="2:29" ht="33" thickBot="1" x14ac:dyDescent="0.25">
      <c r="B45" s="22"/>
      <c r="C45" s="22" t="s">
        <v>109</v>
      </c>
      <c r="D45" s="92"/>
      <c r="AC45" s="19"/>
    </row>
    <row r="46" spans="2:29" ht="16" x14ac:dyDescent="0.2">
      <c r="B46" s="20"/>
      <c r="C46" s="80"/>
      <c r="E46" s="3" t="s">
        <v>111</v>
      </c>
      <c r="F46" s="4">
        <v>11</v>
      </c>
      <c r="G46" s="4">
        <v>13</v>
      </c>
      <c r="H46" s="4">
        <v>9</v>
      </c>
      <c r="I46" s="4">
        <v>16</v>
      </c>
      <c r="J46" s="4">
        <v>1</v>
      </c>
      <c r="K46" s="4">
        <v>5</v>
      </c>
      <c r="L46" s="4">
        <v>6</v>
      </c>
      <c r="M46" s="4">
        <v>8</v>
      </c>
      <c r="N46" s="4">
        <v>7</v>
      </c>
      <c r="O46" s="4">
        <v>10</v>
      </c>
      <c r="P46" s="4">
        <v>12</v>
      </c>
      <c r="Q46" s="4">
        <v>4</v>
      </c>
      <c r="R46" s="4">
        <v>3</v>
      </c>
      <c r="S46" s="4">
        <v>2</v>
      </c>
      <c r="T46" s="4">
        <v>15</v>
      </c>
      <c r="U46" s="4">
        <v>14</v>
      </c>
      <c r="V46" s="5">
        <v>17</v>
      </c>
      <c r="AC46" s="19"/>
    </row>
    <row r="47" spans="2:29" ht="16" x14ac:dyDescent="0.2">
      <c r="B47" s="20"/>
      <c r="C47" s="16"/>
      <c r="E47" s="8" t="s">
        <v>112</v>
      </c>
      <c r="V47" s="9"/>
      <c r="AC47" s="19"/>
    </row>
    <row r="48" spans="2:29" ht="96" x14ac:dyDescent="0.2">
      <c r="B48" s="20"/>
      <c r="C48" s="16"/>
      <c r="D48" s="58"/>
      <c r="E48" s="10" t="s">
        <v>113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  <c r="AC48" s="19"/>
    </row>
    <row r="49" spans="2:40" x14ac:dyDescent="0.2">
      <c r="B49" s="20"/>
      <c r="C49" s="16"/>
      <c r="D49" s="58"/>
      <c r="AC49" s="19"/>
    </row>
    <row r="50" spans="2:40" ht="32" x14ac:dyDescent="0.2">
      <c r="B50" s="20"/>
      <c r="C50" s="16"/>
      <c r="D50" s="58"/>
      <c r="E50" s="3" t="s">
        <v>126</v>
      </c>
      <c r="F50" s="5">
        <v>11</v>
      </c>
      <c r="AC50" s="19"/>
    </row>
    <row r="51" spans="2:40" ht="16" x14ac:dyDescent="0.2">
      <c r="B51" s="20"/>
      <c r="C51" s="16"/>
      <c r="D51" s="58"/>
      <c r="E51" s="10" t="s">
        <v>127</v>
      </c>
      <c r="F51" s="12"/>
      <c r="I51" s="58"/>
      <c r="AC51" s="19"/>
    </row>
    <row r="52" spans="2:40" x14ac:dyDescent="0.2">
      <c r="B52" s="20"/>
      <c r="C52" s="16"/>
      <c r="D52" s="58"/>
      <c r="AC52" s="19"/>
    </row>
    <row r="53" spans="2:40" ht="32" x14ac:dyDescent="0.2">
      <c r="B53" s="20"/>
      <c r="E53" s="85" t="s">
        <v>128</v>
      </c>
      <c r="F53" s="5">
        <v>13</v>
      </c>
      <c r="AC53" s="19"/>
    </row>
    <row r="54" spans="2:40" ht="16" x14ac:dyDescent="0.2">
      <c r="B54" s="20"/>
      <c r="E54" s="10" t="s">
        <v>129</v>
      </c>
      <c r="F54" s="12"/>
      <c r="AC54" s="19"/>
    </row>
    <row r="55" spans="2:40" x14ac:dyDescent="0.2">
      <c r="B55" s="20"/>
      <c r="AC55" s="19"/>
    </row>
    <row r="56" spans="2:40" ht="16" x14ac:dyDescent="0.2">
      <c r="B56" s="20"/>
      <c r="E56" s="3" t="s">
        <v>122</v>
      </c>
      <c r="F56" s="4">
        <v>2</v>
      </c>
      <c r="G56" s="4">
        <v>3</v>
      </c>
      <c r="H56" s="4">
        <v>14</v>
      </c>
      <c r="I56" s="4">
        <v>15</v>
      </c>
      <c r="J56" s="4">
        <v>17</v>
      </c>
      <c r="K56" s="4">
        <v>16</v>
      </c>
      <c r="L56" s="4">
        <v>13</v>
      </c>
      <c r="M56" s="4">
        <v>12</v>
      </c>
      <c r="N56" s="4">
        <v>1</v>
      </c>
      <c r="O56" s="4">
        <v>11</v>
      </c>
      <c r="P56" s="4">
        <v>4</v>
      </c>
      <c r="Q56" s="4">
        <v>5</v>
      </c>
      <c r="R56" s="4">
        <v>10</v>
      </c>
      <c r="S56" s="4">
        <v>9</v>
      </c>
      <c r="T56" s="4">
        <v>6</v>
      </c>
      <c r="U56" s="4">
        <v>7</v>
      </c>
      <c r="V56" s="5">
        <v>8</v>
      </c>
      <c r="AC56" s="19"/>
    </row>
    <row r="57" spans="2:40" ht="16" x14ac:dyDescent="0.2">
      <c r="B57" s="20"/>
      <c r="E57" s="10" t="s">
        <v>123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AA57" s="81"/>
      <c r="AC57" s="19"/>
    </row>
    <row r="58" spans="2:40" x14ac:dyDescent="0.2">
      <c r="B58" s="20"/>
      <c r="AC58" s="19"/>
    </row>
    <row r="59" spans="2:40" ht="16" x14ac:dyDescent="0.2">
      <c r="B59" s="20"/>
      <c r="E59" s="3" t="s">
        <v>124</v>
      </c>
      <c r="F59" s="4">
        <v>2</v>
      </c>
      <c r="G59" s="4">
        <v>2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2</v>
      </c>
      <c r="O59" s="4">
        <v>1</v>
      </c>
      <c r="P59" s="4">
        <v>2</v>
      </c>
      <c r="Q59" s="4">
        <v>2</v>
      </c>
      <c r="R59" s="4">
        <v>1</v>
      </c>
      <c r="S59" s="4">
        <v>1</v>
      </c>
      <c r="T59" s="4">
        <v>2</v>
      </c>
      <c r="U59" s="4">
        <v>2</v>
      </c>
      <c r="V59" s="5">
        <v>1</v>
      </c>
      <c r="AC59" s="19"/>
    </row>
    <row r="60" spans="2:40" ht="16" x14ac:dyDescent="0.2">
      <c r="B60" s="20"/>
      <c r="E60" s="10" t="s">
        <v>5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  <c r="AA60" s="81"/>
      <c r="AC60" s="19"/>
    </row>
    <row r="61" spans="2:40" x14ac:dyDescent="0.2">
      <c r="B61" s="20"/>
      <c r="AC61" s="19"/>
    </row>
    <row r="62" spans="2:40" ht="32" x14ac:dyDescent="0.2">
      <c r="B62" s="20"/>
      <c r="E62" s="104" t="s">
        <v>110</v>
      </c>
      <c r="F62" s="93" t="s">
        <v>125</v>
      </c>
      <c r="G62" s="105" t="s">
        <v>142</v>
      </c>
      <c r="AC62" s="19"/>
    </row>
    <row r="63" spans="2:40" x14ac:dyDescent="0.2">
      <c r="B63" s="20"/>
      <c r="F63" s="101"/>
      <c r="AA63" s="16"/>
      <c r="AC63" s="19"/>
      <c r="AD63" s="80"/>
      <c r="AN63" s="16"/>
    </row>
    <row r="64" spans="2:40" x14ac:dyDescent="0.2">
      <c r="B64" s="20"/>
      <c r="F64" s="102"/>
      <c r="AA64" s="80"/>
      <c r="AC64" s="19"/>
    </row>
    <row r="65" spans="2:40" ht="16" x14ac:dyDescent="0.2">
      <c r="B65" s="20"/>
      <c r="E65" s="104" t="s">
        <v>132</v>
      </c>
      <c r="F65" s="7"/>
      <c r="AC65" s="19"/>
    </row>
    <row r="66" spans="2:40" ht="16" x14ac:dyDescent="0.2">
      <c r="B66" s="20"/>
      <c r="G66" s="3" t="s">
        <v>130</v>
      </c>
      <c r="H66" s="4">
        <v>4</v>
      </c>
      <c r="I66" s="4">
        <v>5</v>
      </c>
      <c r="J66" s="5">
        <v>10</v>
      </c>
      <c r="AA66" s="16"/>
      <c r="AC66" s="19"/>
      <c r="AD66" s="80"/>
      <c r="AN66" s="16"/>
    </row>
    <row r="67" spans="2:40" ht="45" x14ac:dyDescent="0.2">
      <c r="B67" s="20"/>
      <c r="G67" s="96" t="s">
        <v>133</v>
      </c>
      <c r="H67" s="11"/>
      <c r="I67" s="11"/>
      <c r="J67" s="12"/>
      <c r="AA67" s="80"/>
      <c r="AC67" s="19"/>
    </row>
    <row r="68" spans="2:40" x14ac:dyDescent="0.2">
      <c r="B68" s="20"/>
      <c r="AC68" s="19"/>
    </row>
    <row r="69" spans="2:40" ht="16" x14ac:dyDescent="0.2">
      <c r="B69" s="20"/>
      <c r="G69" s="3" t="s">
        <v>134</v>
      </c>
      <c r="H69" s="4">
        <v>2</v>
      </c>
      <c r="I69" s="4">
        <v>2</v>
      </c>
      <c r="J69" s="5">
        <v>1</v>
      </c>
      <c r="AA69" s="16"/>
      <c r="AC69" s="19"/>
      <c r="AD69" s="80"/>
      <c r="AG69" s="16"/>
      <c r="AN69" s="80"/>
    </row>
    <row r="70" spans="2:40" ht="60" x14ac:dyDescent="0.2">
      <c r="B70" s="20"/>
      <c r="G70" s="97" t="s">
        <v>135</v>
      </c>
      <c r="H70" s="11"/>
      <c r="I70" s="11"/>
      <c r="J70" s="12"/>
      <c r="AC70" s="19"/>
    </row>
    <row r="71" spans="2:40" x14ac:dyDescent="0.2">
      <c r="B71" s="20"/>
      <c r="AC71" s="19"/>
    </row>
    <row r="72" spans="2:40" ht="16" x14ac:dyDescent="0.2">
      <c r="B72" s="20"/>
      <c r="G72" s="3" t="s">
        <v>136</v>
      </c>
      <c r="H72" s="5">
        <v>3</v>
      </c>
      <c r="AA72" s="16"/>
      <c r="AC72" s="19"/>
      <c r="AD72" s="80"/>
      <c r="AG72" s="16"/>
      <c r="AN72" s="80"/>
    </row>
    <row r="73" spans="2:40" ht="64" x14ac:dyDescent="0.2">
      <c r="B73" s="20"/>
      <c r="G73" s="10" t="s">
        <v>137</v>
      </c>
      <c r="H73" s="12"/>
      <c r="AC73" s="19"/>
    </row>
    <row r="74" spans="2:40" x14ac:dyDescent="0.2">
      <c r="B74" s="20"/>
      <c r="AC74" s="19"/>
    </row>
    <row r="75" spans="2:40" ht="160" x14ac:dyDescent="0.2">
      <c r="B75" s="20"/>
      <c r="G75" s="98" t="s">
        <v>138</v>
      </c>
      <c r="H75" s="99">
        <v>5</v>
      </c>
      <c r="I75" s="99">
        <v>10</v>
      </c>
      <c r="J75" s="100">
        <v>4</v>
      </c>
      <c r="L75" s="3" t="s">
        <v>122</v>
      </c>
      <c r="M75" s="4">
        <v>2</v>
      </c>
      <c r="N75" s="4">
        <v>3</v>
      </c>
      <c r="O75" s="4">
        <v>14</v>
      </c>
      <c r="P75" s="4">
        <v>15</v>
      </c>
      <c r="Q75" s="4">
        <v>17</v>
      </c>
      <c r="R75" s="4">
        <v>16</v>
      </c>
      <c r="S75" s="4">
        <v>13</v>
      </c>
      <c r="T75" s="4">
        <v>12</v>
      </c>
      <c r="U75" s="4">
        <v>1</v>
      </c>
      <c r="V75" s="4">
        <v>11</v>
      </c>
      <c r="W75" s="83">
        <v>5</v>
      </c>
      <c r="X75" s="83">
        <v>10</v>
      </c>
      <c r="Y75" s="83">
        <v>4</v>
      </c>
      <c r="Z75" s="4">
        <v>9</v>
      </c>
      <c r="AA75" s="4">
        <v>6</v>
      </c>
      <c r="AB75" s="4">
        <v>7</v>
      </c>
      <c r="AC75" s="46">
        <v>8</v>
      </c>
    </row>
    <row r="76" spans="2:40" ht="80" x14ac:dyDescent="0.2">
      <c r="B76" s="20"/>
      <c r="G76" s="97" t="s">
        <v>139</v>
      </c>
      <c r="H76" s="11"/>
      <c r="I76" s="11"/>
      <c r="J76" s="12"/>
      <c r="L76" s="10" t="s">
        <v>123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48"/>
    </row>
    <row r="77" spans="2:40" x14ac:dyDescent="0.2">
      <c r="B77" s="20"/>
      <c r="AC77" s="19"/>
    </row>
    <row r="78" spans="2:40" ht="160" x14ac:dyDescent="0.2">
      <c r="B78" s="20"/>
      <c r="G78" s="98" t="s">
        <v>140</v>
      </c>
      <c r="H78" s="99">
        <v>2</v>
      </c>
      <c r="I78" s="99">
        <v>1</v>
      </c>
      <c r="J78" s="100">
        <v>2</v>
      </c>
      <c r="L78" s="3" t="s">
        <v>124</v>
      </c>
      <c r="M78" s="4">
        <v>2</v>
      </c>
      <c r="N78" s="4">
        <v>2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2</v>
      </c>
      <c r="V78" s="4">
        <v>1</v>
      </c>
      <c r="W78" s="83">
        <v>2</v>
      </c>
      <c r="X78" s="83">
        <v>1</v>
      </c>
      <c r="Y78" s="83">
        <v>2</v>
      </c>
      <c r="Z78" s="4">
        <v>1</v>
      </c>
      <c r="AA78" s="4">
        <v>2</v>
      </c>
      <c r="AB78" s="4">
        <v>2</v>
      </c>
      <c r="AC78" s="46">
        <v>1</v>
      </c>
      <c r="AK78" s="80"/>
    </row>
    <row r="79" spans="2:40" ht="81" thickBot="1" x14ac:dyDescent="0.25">
      <c r="B79" s="22"/>
      <c r="C79" s="29"/>
      <c r="D79" s="29"/>
      <c r="E79" s="29"/>
      <c r="F79" s="29"/>
      <c r="G79" s="103" t="s">
        <v>141</v>
      </c>
      <c r="H79" s="29"/>
      <c r="I79" s="29"/>
      <c r="J79" s="43"/>
      <c r="K79" s="29"/>
      <c r="L79" s="49" t="s">
        <v>5</v>
      </c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30"/>
    </row>
    <row r="82" spans="1:19" ht="32" x14ac:dyDescent="0.2">
      <c r="A82" s="1" t="s">
        <v>29</v>
      </c>
      <c r="B82" s="3" t="s">
        <v>122</v>
      </c>
      <c r="C82" s="4">
        <v>2</v>
      </c>
      <c r="D82" s="4">
        <v>3</v>
      </c>
      <c r="E82" s="4">
        <v>14</v>
      </c>
      <c r="F82" s="4">
        <v>15</v>
      </c>
      <c r="G82" s="4">
        <v>17</v>
      </c>
      <c r="H82" s="4">
        <v>16</v>
      </c>
      <c r="I82" s="4">
        <v>13</v>
      </c>
      <c r="J82" s="4">
        <v>12</v>
      </c>
      <c r="K82" s="4">
        <v>1</v>
      </c>
      <c r="L82" s="4">
        <v>11</v>
      </c>
      <c r="M82" s="83">
        <v>5</v>
      </c>
      <c r="N82" s="83">
        <v>10</v>
      </c>
      <c r="O82" s="83">
        <v>4</v>
      </c>
      <c r="P82" s="4">
        <v>9</v>
      </c>
      <c r="Q82" s="4">
        <v>6</v>
      </c>
      <c r="R82" s="4">
        <v>7</v>
      </c>
      <c r="S82" s="46">
        <v>8</v>
      </c>
    </row>
    <row r="83" spans="1:19" ht="16" x14ac:dyDescent="0.2">
      <c r="B83" s="10" t="s">
        <v>123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48"/>
    </row>
    <row r="85" spans="1:19" ht="32" x14ac:dyDescent="0.2">
      <c r="B85" s="3" t="s">
        <v>124</v>
      </c>
      <c r="C85" s="4">
        <v>2</v>
      </c>
      <c r="D85" s="4">
        <v>2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2</v>
      </c>
      <c r="L85" s="4">
        <v>1</v>
      </c>
      <c r="M85" s="83">
        <v>2</v>
      </c>
      <c r="N85" s="83">
        <v>1</v>
      </c>
      <c r="O85" s="83">
        <v>2</v>
      </c>
      <c r="P85" s="4">
        <v>1</v>
      </c>
      <c r="Q85" s="4">
        <v>2</v>
      </c>
      <c r="R85" s="4">
        <v>2</v>
      </c>
      <c r="S85" s="46">
        <v>1</v>
      </c>
    </row>
    <row r="86" spans="1:19" ht="17" thickBot="1" x14ac:dyDescent="0.25">
      <c r="B86" s="49" t="s">
        <v>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3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84AD-A655-45C2-8E0B-1799E1A939F8}">
  <dimension ref="A1:AP113"/>
  <sheetViews>
    <sheetView tabSelected="1" topLeftCell="A84" zoomScaleNormal="100" workbookViewId="0">
      <selection activeCell="AK96" sqref="AK96"/>
    </sheetView>
  </sheetViews>
  <sheetFormatPr baseColWidth="10" defaultColWidth="8.83203125" defaultRowHeight="15" x14ac:dyDescent="0.2"/>
  <cols>
    <col min="1" max="1" width="6.83203125" style="2" bestFit="1" customWidth="1"/>
    <col min="2" max="3" width="10.33203125" style="2" bestFit="1" customWidth="1"/>
    <col min="4" max="4" width="11.1640625" style="2" bestFit="1" customWidth="1"/>
    <col min="5" max="5" width="6.1640625" style="2" bestFit="1" customWidth="1"/>
    <col min="6" max="10" width="3.1640625" style="2" bestFit="1" customWidth="1"/>
    <col min="11" max="11" width="2.1640625" style="2" bestFit="1" customWidth="1"/>
    <col min="12" max="12" width="3.6640625" style="2" bestFit="1" customWidth="1"/>
    <col min="13" max="14" width="5.5" style="2" bestFit="1" customWidth="1"/>
    <col min="15" max="15" width="3.6640625" style="2" bestFit="1" customWidth="1"/>
    <col min="16" max="17" width="5.33203125" style="2" bestFit="1" customWidth="1"/>
    <col min="18" max="18" width="2.1640625" style="2" bestFit="1" customWidth="1"/>
    <col min="19" max="24" width="7.5" style="2" bestFit="1" customWidth="1"/>
    <col min="25" max="25" width="2.1640625" style="2" customWidth="1"/>
    <col min="26" max="26" width="18" style="34" bestFit="1" customWidth="1"/>
    <col min="27" max="29" width="3.1640625" style="34" bestFit="1" customWidth="1"/>
    <col min="30" max="30" width="4" style="34" bestFit="1" customWidth="1"/>
    <col min="31" max="31" width="7.83203125" style="34" bestFit="1" customWidth="1"/>
    <col min="32" max="32" width="3.1640625" style="2" bestFit="1" customWidth="1"/>
    <col min="33" max="38" width="2" style="2" bestFit="1" customWidth="1"/>
    <col min="39" max="39" width="8.83203125" style="2"/>
    <col min="40" max="40" width="2" style="2" bestFit="1" customWidth="1"/>
    <col min="41" max="42" width="3" style="2" bestFit="1" customWidth="1"/>
    <col min="43" max="16384" width="8.83203125" style="2"/>
  </cols>
  <sheetData>
    <row r="1" spans="1:42" ht="16" x14ac:dyDescent="0.2">
      <c r="A1" s="1" t="s">
        <v>2</v>
      </c>
    </row>
    <row r="2" spans="1:42" ht="16" x14ac:dyDescent="0.2">
      <c r="B2" s="130" t="s">
        <v>182</v>
      </c>
      <c r="C2" s="183">
        <v>0</v>
      </c>
      <c r="D2" s="183">
        <v>0</v>
      </c>
      <c r="E2" s="183">
        <v>0</v>
      </c>
      <c r="F2" s="183">
        <v>1</v>
      </c>
      <c r="G2" s="183">
        <v>0</v>
      </c>
      <c r="H2" s="183">
        <v>1</v>
      </c>
      <c r="I2" s="183">
        <v>1</v>
      </c>
      <c r="J2" s="183">
        <v>1</v>
      </c>
      <c r="K2" s="184">
        <v>0</v>
      </c>
      <c r="L2" s="182"/>
      <c r="M2" s="130" t="s">
        <v>183</v>
      </c>
      <c r="N2" s="183">
        <v>0</v>
      </c>
      <c r="O2" s="183">
        <v>0</v>
      </c>
      <c r="P2" s="183">
        <v>0</v>
      </c>
      <c r="Q2" s="183">
        <v>1</v>
      </c>
      <c r="R2" s="183">
        <v>0</v>
      </c>
      <c r="S2" s="183">
        <v>0</v>
      </c>
      <c r="T2" s="183">
        <v>1</v>
      </c>
      <c r="U2" s="183">
        <v>1</v>
      </c>
      <c r="V2" s="184">
        <v>0</v>
      </c>
      <c r="W2" s="182"/>
      <c r="X2" s="130" t="s">
        <v>0</v>
      </c>
      <c r="Y2" s="135">
        <v>4</v>
      </c>
      <c r="Z2" s="183">
        <v>3</v>
      </c>
      <c r="AA2" s="183">
        <v>0</v>
      </c>
      <c r="AB2" s="183">
        <v>0</v>
      </c>
      <c r="AC2" s="183">
        <v>3</v>
      </c>
      <c r="AD2" s="184">
        <v>3</v>
      </c>
      <c r="AE2" s="180"/>
      <c r="AF2" s="179"/>
      <c r="AG2" s="179"/>
      <c r="AH2" s="179"/>
      <c r="AI2" s="179"/>
      <c r="AJ2" s="179"/>
      <c r="AK2" s="179"/>
      <c r="AL2" s="179"/>
      <c r="AN2" s="181"/>
      <c r="AO2" s="179"/>
      <c r="AP2" s="179"/>
    </row>
    <row r="3" spans="1:42" x14ac:dyDescent="0.2">
      <c r="B3" s="137"/>
      <c r="C3" s="185">
        <v>0</v>
      </c>
      <c r="D3" s="185">
        <v>0</v>
      </c>
      <c r="E3" s="185">
        <v>1</v>
      </c>
      <c r="F3" s="185">
        <v>0</v>
      </c>
      <c r="G3" s="185">
        <v>0</v>
      </c>
      <c r="H3" s="185">
        <v>1</v>
      </c>
      <c r="I3" s="185">
        <v>1</v>
      </c>
      <c r="J3" s="185">
        <v>0</v>
      </c>
      <c r="K3" s="166">
        <v>0</v>
      </c>
      <c r="L3" s="182"/>
      <c r="M3" s="137"/>
      <c r="N3" s="185">
        <v>0</v>
      </c>
      <c r="O3" s="185">
        <v>0</v>
      </c>
      <c r="P3" s="185">
        <v>1</v>
      </c>
      <c r="Q3" s="185">
        <v>1</v>
      </c>
      <c r="R3" s="185">
        <v>0</v>
      </c>
      <c r="S3" s="185">
        <v>0</v>
      </c>
      <c r="T3" s="185">
        <v>0</v>
      </c>
      <c r="U3" s="185">
        <v>0</v>
      </c>
      <c r="V3" s="166">
        <v>0</v>
      </c>
      <c r="W3" s="182"/>
      <c r="X3" s="137"/>
      <c r="Y3" s="137">
        <v>3</v>
      </c>
      <c r="Z3" s="185">
        <v>2</v>
      </c>
      <c r="AA3" s="185">
        <v>1</v>
      </c>
      <c r="AB3" s="185">
        <v>1</v>
      </c>
      <c r="AC3" s="185">
        <v>1</v>
      </c>
      <c r="AD3" s="166">
        <v>3</v>
      </c>
      <c r="AE3" s="180"/>
      <c r="AF3" s="179"/>
      <c r="AG3" s="179"/>
      <c r="AH3" s="179"/>
      <c r="AI3" s="179"/>
      <c r="AJ3" s="179"/>
      <c r="AK3" s="179"/>
      <c r="AL3" s="179"/>
      <c r="AN3" s="179"/>
      <c r="AO3" s="179"/>
      <c r="AP3" s="179"/>
    </row>
    <row r="4" spans="1:42" x14ac:dyDescent="0.2">
      <c r="B4" s="137"/>
      <c r="C4" s="185">
        <v>0</v>
      </c>
      <c r="D4" s="185">
        <v>0</v>
      </c>
      <c r="E4" s="185">
        <v>0</v>
      </c>
      <c r="F4" s="185">
        <v>1</v>
      </c>
      <c r="G4" s="185">
        <v>0</v>
      </c>
      <c r="H4" s="185">
        <v>1</v>
      </c>
      <c r="I4" s="185">
        <v>0</v>
      </c>
      <c r="J4" s="185">
        <v>0</v>
      </c>
      <c r="K4" s="166">
        <v>0</v>
      </c>
      <c r="L4" s="182"/>
      <c r="M4" s="137"/>
      <c r="N4" s="185">
        <v>0</v>
      </c>
      <c r="O4" s="185">
        <v>0</v>
      </c>
      <c r="P4" s="185">
        <v>0</v>
      </c>
      <c r="Q4" s="185">
        <v>1</v>
      </c>
      <c r="R4" s="185">
        <v>0</v>
      </c>
      <c r="S4" s="185">
        <v>0</v>
      </c>
      <c r="T4" s="185">
        <v>0</v>
      </c>
      <c r="U4" s="185">
        <v>0</v>
      </c>
      <c r="V4" s="166">
        <v>0</v>
      </c>
      <c r="W4" s="182"/>
      <c r="X4" s="137"/>
      <c r="Y4" s="137">
        <v>2</v>
      </c>
      <c r="Z4" s="185">
        <v>1</v>
      </c>
      <c r="AA4" s="185">
        <v>1</v>
      </c>
      <c r="AB4" s="185">
        <v>2</v>
      </c>
      <c r="AC4" s="185">
        <v>1</v>
      </c>
      <c r="AD4" s="166">
        <v>2</v>
      </c>
      <c r="AE4" s="180"/>
      <c r="AF4" s="179"/>
      <c r="AG4" s="179"/>
      <c r="AH4" s="179"/>
      <c r="AI4" s="179"/>
      <c r="AJ4" s="179"/>
      <c r="AK4" s="179"/>
      <c r="AL4" s="179"/>
      <c r="AN4" s="179"/>
      <c r="AO4" s="179"/>
      <c r="AP4" s="179"/>
    </row>
    <row r="5" spans="1:42" x14ac:dyDescent="0.2">
      <c r="B5" s="137"/>
      <c r="C5" s="185">
        <v>0</v>
      </c>
      <c r="D5" s="185">
        <v>0</v>
      </c>
      <c r="E5" s="185">
        <v>0</v>
      </c>
      <c r="F5" s="185">
        <v>0</v>
      </c>
      <c r="G5" s="185">
        <v>0</v>
      </c>
      <c r="H5" s="185">
        <v>0</v>
      </c>
      <c r="I5" s="185">
        <v>0</v>
      </c>
      <c r="J5" s="185">
        <v>0</v>
      </c>
      <c r="K5" s="166">
        <v>0</v>
      </c>
      <c r="L5" s="182"/>
      <c r="M5" s="137"/>
      <c r="N5" s="185">
        <v>0</v>
      </c>
      <c r="O5" s="185">
        <v>0</v>
      </c>
      <c r="P5" s="185">
        <v>0</v>
      </c>
      <c r="Q5" s="185">
        <v>0</v>
      </c>
      <c r="R5" s="185">
        <v>0</v>
      </c>
      <c r="S5" s="185">
        <v>0</v>
      </c>
      <c r="T5" s="185">
        <v>0</v>
      </c>
      <c r="U5" s="185">
        <v>0</v>
      </c>
      <c r="V5" s="166">
        <v>0</v>
      </c>
      <c r="W5" s="182"/>
      <c r="X5" s="137"/>
      <c r="Y5" s="137">
        <v>0</v>
      </c>
      <c r="Z5" s="185">
        <v>0</v>
      </c>
      <c r="AA5" s="185">
        <v>0</v>
      </c>
      <c r="AB5" s="185">
        <v>1</v>
      </c>
      <c r="AC5" s="185">
        <v>0</v>
      </c>
      <c r="AD5" s="166">
        <v>0</v>
      </c>
      <c r="AE5" s="180"/>
      <c r="AF5" s="179"/>
      <c r="AG5" s="179"/>
      <c r="AH5" s="179"/>
      <c r="AI5" s="179"/>
      <c r="AJ5" s="179"/>
      <c r="AK5" s="179"/>
      <c r="AL5" s="179"/>
      <c r="AN5" s="179"/>
      <c r="AO5" s="179"/>
      <c r="AP5" s="179"/>
    </row>
    <row r="6" spans="1:42" x14ac:dyDescent="0.2">
      <c r="B6" s="137"/>
      <c r="C6" s="185">
        <v>0</v>
      </c>
      <c r="D6" s="185">
        <v>0</v>
      </c>
      <c r="E6" s="185">
        <v>0</v>
      </c>
      <c r="F6" s="185">
        <v>0</v>
      </c>
      <c r="G6" s="185">
        <v>0</v>
      </c>
      <c r="H6" s="185">
        <v>0</v>
      </c>
      <c r="I6" s="185">
        <v>0</v>
      </c>
      <c r="J6" s="185">
        <v>0</v>
      </c>
      <c r="K6" s="166">
        <v>0</v>
      </c>
      <c r="L6" s="182"/>
      <c r="M6" s="137"/>
      <c r="N6" s="185">
        <v>1</v>
      </c>
      <c r="O6" s="185">
        <v>1</v>
      </c>
      <c r="P6" s="185">
        <v>1</v>
      </c>
      <c r="Q6" s="185">
        <v>1</v>
      </c>
      <c r="R6" s="185">
        <v>0</v>
      </c>
      <c r="S6" s="185">
        <v>0</v>
      </c>
      <c r="T6" s="185">
        <v>1</v>
      </c>
      <c r="U6" s="185">
        <v>1</v>
      </c>
      <c r="V6" s="166">
        <v>0</v>
      </c>
      <c r="W6" s="182"/>
      <c r="X6" s="137"/>
      <c r="Y6" s="137">
        <v>0</v>
      </c>
      <c r="Z6" s="185">
        <v>6</v>
      </c>
      <c r="AA6" s="185">
        <v>0</v>
      </c>
      <c r="AB6" s="185">
        <v>0</v>
      </c>
      <c r="AC6" s="185">
        <v>0</v>
      </c>
      <c r="AD6" s="166">
        <v>0</v>
      </c>
      <c r="AE6" s="180"/>
      <c r="AF6" s="179"/>
      <c r="AG6" s="179"/>
      <c r="AH6" s="179"/>
      <c r="AI6" s="179"/>
      <c r="AJ6" s="179"/>
      <c r="AK6" s="179"/>
      <c r="AL6" s="179"/>
      <c r="AN6" s="179"/>
      <c r="AO6" s="179"/>
      <c r="AP6" s="179"/>
    </row>
    <row r="7" spans="1:42" x14ac:dyDescent="0.2">
      <c r="B7" s="137"/>
      <c r="C7" s="185">
        <v>0</v>
      </c>
      <c r="D7" s="185">
        <v>0</v>
      </c>
      <c r="E7" s="185">
        <v>0</v>
      </c>
      <c r="F7" s="185">
        <v>1</v>
      </c>
      <c r="G7" s="185">
        <v>1</v>
      </c>
      <c r="H7" s="185">
        <v>0</v>
      </c>
      <c r="I7" s="185">
        <v>0</v>
      </c>
      <c r="J7" s="185">
        <v>1</v>
      </c>
      <c r="K7" s="166">
        <v>0</v>
      </c>
      <c r="L7" s="182"/>
      <c r="M7" s="137"/>
      <c r="N7" s="185">
        <v>0</v>
      </c>
      <c r="O7" s="185">
        <v>0</v>
      </c>
      <c r="P7" s="185">
        <v>0</v>
      </c>
      <c r="Q7" s="185">
        <v>1</v>
      </c>
      <c r="R7" s="185">
        <v>0</v>
      </c>
      <c r="S7" s="185">
        <v>0</v>
      </c>
      <c r="T7" s="185">
        <v>0</v>
      </c>
      <c r="U7" s="185">
        <v>0</v>
      </c>
      <c r="V7" s="166">
        <v>0</v>
      </c>
      <c r="W7" s="182"/>
      <c r="X7" s="137"/>
      <c r="Y7" s="137">
        <v>3</v>
      </c>
      <c r="Z7" s="185">
        <v>1</v>
      </c>
      <c r="AA7" s="185">
        <v>1</v>
      </c>
      <c r="AB7" s="185">
        <v>1</v>
      </c>
      <c r="AC7" s="185">
        <v>1</v>
      </c>
      <c r="AD7" s="166">
        <v>0</v>
      </c>
      <c r="AE7" s="180"/>
      <c r="AF7" s="179"/>
      <c r="AG7" s="179"/>
      <c r="AH7" s="179"/>
      <c r="AI7" s="179"/>
      <c r="AJ7" s="179"/>
      <c r="AK7" s="179"/>
      <c r="AL7" s="179"/>
      <c r="AN7" s="179"/>
      <c r="AO7" s="179"/>
      <c r="AP7" s="179"/>
    </row>
    <row r="8" spans="1:42" x14ac:dyDescent="0.2">
      <c r="B8" s="137"/>
      <c r="C8" s="185">
        <v>0</v>
      </c>
      <c r="D8" s="185">
        <v>0</v>
      </c>
      <c r="E8" s="185">
        <v>0</v>
      </c>
      <c r="F8" s="185">
        <v>0</v>
      </c>
      <c r="G8" s="185">
        <v>1</v>
      </c>
      <c r="H8" s="185">
        <v>1</v>
      </c>
      <c r="I8" s="185">
        <v>0</v>
      </c>
      <c r="J8" s="185">
        <v>0</v>
      </c>
      <c r="K8" s="166">
        <v>0</v>
      </c>
      <c r="L8" s="182"/>
      <c r="M8" s="137"/>
      <c r="N8" s="185">
        <v>0</v>
      </c>
      <c r="O8" s="185">
        <v>0</v>
      </c>
      <c r="P8" s="185">
        <v>0</v>
      </c>
      <c r="Q8" s="185">
        <v>1</v>
      </c>
      <c r="R8" s="185">
        <v>0</v>
      </c>
      <c r="S8" s="185">
        <v>0</v>
      </c>
      <c r="T8" s="185">
        <v>0</v>
      </c>
      <c r="U8" s="185">
        <v>0</v>
      </c>
      <c r="V8" s="166">
        <v>0</v>
      </c>
      <c r="W8" s="182"/>
      <c r="X8" s="137"/>
      <c r="Y8" s="137">
        <v>2</v>
      </c>
      <c r="Z8" s="185">
        <v>1</v>
      </c>
      <c r="AA8" s="185">
        <v>2</v>
      </c>
      <c r="AB8" s="185">
        <v>2</v>
      </c>
      <c r="AC8" s="185">
        <v>1</v>
      </c>
      <c r="AD8" s="166">
        <v>0</v>
      </c>
      <c r="AE8" s="180"/>
      <c r="AF8" s="179"/>
      <c r="AG8" s="179"/>
      <c r="AH8" s="179"/>
      <c r="AI8" s="179"/>
      <c r="AJ8" s="179"/>
      <c r="AK8" s="179"/>
      <c r="AL8" s="179"/>
      <c r="AN8" s="179"/>
      <c r="AO8" s="179"/>
      <c r="AP8" s="179"/>
    </row>
    <row r="9" spans="1:42" x14ac:dyDescent="0.2">
      <c r="B9" s="137"/>
      <c r="C9" s="185">
        <v>0</v>
      </c>
      <c r="D9" s="185">
        <v>0</v>
      </c>
      <c r="E9" s="185">
        <v>0</v>
      </c>
      <c r="F9" s="185">
        <v>0</v>
      </c>
      <c r="G9" s="185">
        <v>0</v>
      </c>
      <c r="H9" s="185">
        <v>0</v>
      </c>
      <c r="I9" s="185">
        <v>0</v>
      </c>
      <c r="J9" s="185">
        <v>0</v>
      </c>
      <c r="K9" s="166">
        <v>0</v>
      </c>
      <c r="L9" s="182"/>
      <c r="M9" s="137"/>
      <c r="N9" s="185">
        <v>0</v>
      </c>
      <c r="O9" s="185">
        <v>0</v>
      </c>
      <c r="P9" s="185">
        <v>0</v>
      </c>
      <c r="Q9" s="185">
        <v>0</v>
      </c>
      <c r="R9" s="185">
        <v>0</v>
      </c>
      <c r="S9" s="185">
        <v>0</v>
      </c>
      <c r="T9" s="185">
        <v>0</v>
      </c>
      <c r="U9" s="185">
        <v>0</v>
      </c>
      <c r="V9" s="166">
        <v>0</v>
      </c>
      <c r="W9" s="182"/>
      <c r="X9" s="137"/>
      <c r="Y9" s="137">
        <v>0</v>
      </c>
      <c r="Z9" s="185">
        <v>0</v>
      </c>
      <c r="AA9" s="185">
        <v>6</v>
      </c>
      <c r="AB9" s="185">
        <v>0</v>
      </c>
      <c r="AC9" s="185">
        <v>0</v>
      </c>
      <c r="AD9" s="166">
        <v>0</v>
      </c>
      <c r="AE9" s="180"/>
      <c r="AF9" s="179"/>
      <c r="AG9" s="179"/>
      <c r="AH9" s="179"/>
      <c r="AI9" s="179"/>
      <c r="AJ9" s="179"/>
      <c r="AK9" s="179"/>
      <c r="AL9" s="179"/>
      <c r="AN9" s="179"/>
      <c r="AO9" s="179"/>
      <c r="AP9" s="179"/>
    </row>
    <row r="10" spans="1:42" x14ac:dyDescent="0.2">
      <c r="B10" s="141"/>
      <c r="C10" s="170">
        <v>0</v>
      </c>
      <c r="D10" s="170">
        <v>0</v>
      </c>
      <c r="E10" s="170">
        <v>0</v>
      </c>
      <c r="F10" s="170">
        <v>1</v>
      </c>
      <c r="G10" s="170">
        <v>0</v>
      </c>
      <c r="H10" s="170">
        <v>0</v>
      </c>
      <c r="I10" s="170">
        <v>0</v>
      </c>
      <c r="J10" s="170">
        <v>0</v>
      </c>
      <c r="K10" s="171">
        <v>0</v>
      </c>
      <c r="L10" s="182"/>
      <c r="M10" s="141"/>
      <c r="N10" s="170">
        <v>0</v>
      </c>
      <c r="O10" s="170">
        <v>0</v>
      </c>
      <c r="P10" s="170">
        <v>0</v>
      </c>
      <c r="Q10" s="170">
        <v>0</v>
      </c>
      <c r="R10" s="170">
        <v>0</v>
      </c>
      <c r="S10" s="170">
        <v>0</v>
      </c>
      <c r="T10" s="170">
        <v>0</v>
      </c>
      <c r="U10" s="170">
        <v>0</v>
      </c>
      <c r="V10" s="171">
        <v>0</v>
      </c>
      <c r="W10" s="182"/>
      <c r="X10" s="141"/>
      <c r="Y10" s="141">
        <v>1</v>
      </c>
      <c r="Z10" s="170">
        <v>0</v>
      </c>
      <c r="AA10" s="170">
        <v>0</v>
      </c>
      <c r="AB10" s="170">
        <v>2</v>
      </c>
      <c r="AC10" s="170">
        <v>1</v>
      </c>
      <c r="AD10" s="171">
        <v>1</v>
      </c>
      <c r="AE10" s="180"/>
      <c r="AF10" s="179"/>
      <c r="AG10" s="179"/>
      <c r="AH10" s="179"/>
      <c r="AI10" s="179"/>
      <c r="AJ10" s="179"/>
      <c r="AK10" s="179"/>
      <c r="AL10" s="179"/>
      <c r="AN10" s="179"/>
      <c r="AO10" s="179"/>
      <c r="AP10" s="179"/>
    </row>
    <row r="11" spans="1:42" x14ac:dyDescent="0.2"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33"/>
      <c r="U11" s="182"/>
      <c r="V11" s="182"/>
      <c r="W11" s="182"/>
      <c r="X11" s="182"/>
      <c r="Y11" s="182"/>
      <c r="Z11" s="185"/>
      <c r="AA11" s="185"/>
      <c r="AB11" s="185"/>
      <c r="AC11" s="185"/>
      <c r="AD11" s="185"/>
      <c r="AE11" s="180"/>
      <c r="AF11" s="179"/>
      <c r="AG11" s="179"/>
      <c r="AH11" s="179"/>
      <c r="AI11" s="179"/>
      <c r="AJ11" s="179"/>
      <c r="AK11" s="179"/>
      <c r="AL11" s="179"/>
      <c r="AN11" s="179"/>
      <c r="AO11" s="179"/>
      <c r="AP11" s="179"/>
    </row>
    <row r="12" spans="1:42" ht="16" x14ac:dyDescent="0.2">
      <c r="B12" s="130" t="s">
        <v>184</v>
      </c>
      <c r="C12" s="183">
        <v>0</v>
      </c>
      <c r="D12" s="183">
        <v>0</v>
      </c>
      <c r="E12" s="183">
        <v>0</v>
      </c>
      <c r="F12" s="183">
        <v>0</v>
      </c>
      <c r="G12" s="183">
        <v>0</v>
      </c>
      <c r="H12" s="183">
        <v>0</v>
      </c>
      <c r="I12" s="183">
        <v>0</v>
      </c>
      <c r="J12" s="183">
        <v>0</v>
      </c>
      <c r="K12" s="184">
        <v>0</v>
      </c>
      <c r="L12" s="182"/>
      <c r="M12" s="130" t="s">
        <v>185</v>
      </c>
      <c r="N12" s="183">
        <v>0</v>
      </c>
      <c r="O12" s="183">
        <v>0</v>
      </c>
      <c r="P12" s="183">
        <v>0</v>
      </c>
      <c r="Q12" s="183">
        <v>0</v>
      </c>
      <c r="R12" s="183">
        <v>0</v>
      </c>
      <c r="S12" s="183">
        <v>0</v>
      </c>
      <c r="T12" s="183">
        <v>0</v>
      </c>
      <c r="U12" s="183">
        <v>0</v>
      </c>
      <c r="V12" s="184">
        <v>0</v>
      </c>
      <c r="W12" s="182"/>
      <c r="X12" s="182"/>
      <c r="Y12" s="182"/>
      <c r="Z12" s="185"/>
      <c r="AA12" s="185"/>
      <c r="AB12" s="185"/>
      <c r="AC12" s="185"/>
      <c r="AD12" s="185"/>
      <c r="AE12" s="180"/>
      <c r="AF12" s="179"/>
      <c r="AG12" s="179"/>
      <c r="AH12" s="179"/>
      <c r="AI12" s="179"/>
      <c r="AJ12" s="179"/>
      <c r="AK12" s="179"/>
      <c r="AL12" s="179"/>
      <c r="AN12" s="179"/>
      <c r="AO12" s="179"/>
      <c r="AP12" s="179"/>
    </row>
    <row r="13" spans="1:42" x14ac:dyDescent="0.2">
      <c r="B13" s="137"/>
      <c r="C13" s="185">
        <v>0</v>
      </c>
      <c r="D13" s="185">
        <v>0</v>
      </c>
      <c r="E13" s="185">
        <v>0</v>
      </c>
      <c r="F13" s="185">
        <v>1</v>
      </c>
      <c r="G13" s="185">
        <v>0</v>
      </c>
      <c r="H13" s="185">
        <v>0</v>
      </c>
      <c r="I13" s="185">
        <v>0</v>
      </c>
      <c r="J13" s="185">
        <v>0</v>
      </c>
      <c r="K13" s="166">
        <v>0</v>
      </c>
      <c r="L13" s="182"/>
      <c r="M13" s="137"/>
      <c r="N13" s="185">
        <v>0</v>
      </c>
      <c r="O13" s="185">
        <v>0</v>
      </c>
      <c r="P13" s="185">
        <v>0</v>
      </c>
      <c r="Q13" s="185">
        <v>0</v>
      </c>
      <c r="R13" s="185">
        <v>0</v>
      </c>
      <c r="S13" s="185">
        <v>0</v>
      </c>
      <c r="T13" s="185">
        <v>0</v>
      </c>
      <c r="U13" s="185">
        <v>1</v>
      </c>
      <c r="V13" s="166">
        <v>0</v>
      </c>
      <c r="W13" s="182"/>
      <c r="X13" s="182"/>
      <c r="Y13" s="182"/>
      <c r="Z13" s="185"/>
      <c r="AA13" s="185"/>
      <c r="AB13" s="185"/>
      <c r="AC13" s="185"/>
      <c r="AD13" s="185"/>
      <c r="AE13" s="180"/>
      <c r="AF13" s="179"/>
      <c r="AG13" s="179"/>
      <c r="AH13" s="179"/>
      <c r="AI13" s="179"/>
      <c r="AJ13" s="179"/>
      <c r="AK13" s="179"/>
      <c r="AL13" s="179"/>
      <c r="AN13" s="179"/>
      <c r="AO13" s="179"/>
      <c r="AP13" s="179"/>
    </row>
    <row r="14" spans="1:42" x14ac:dyDescent="0.2">
      <c r="B14" s="137"/>
      <c r="C14" s="185">
        <v>0</v>
      </c>
      <c r="D14" s="185">
        <v>0</v>
      </c>
      <c r="E14" s="185">
        <v>0</v>
      </c>
      <c r="F14" s="185">
        <v>1</v>
      </c>
      <c r="G14" s="185">
        <v>0</v>
      </c>
      <c r="H14" s="185">
        <v>0</v>
      </c>
      <c r="I14" s="185">
        <v>0</v>
      </c>
      <c r="J14" s="185">
        <v>0</v>
      </c>
      <c r="K14" s="166">
        <v>0</v>
      </c>
      <c r="L14" s="182"/>
      <c r="M14" s="137"/>
      <c r="N14" s="185">
        <v>0</v>
      </c>
      <c r="O14" s="185">
        <v>1</v>
      </c>
      <c r="P14" s="185">
        <v>0</v>
      </c>
      <c r="Q14" s="185">
        <v>0</v>
      </c>
      <c r="R14" s="185">
        <v>0</v>
      </c>
      <c r="S14" s="185">
        <v>0</v>
      </c>
      <c r="T14" s="185">
        <v>1</v>
      </c>
      <c r="U14" s="185">
        <v>0</v>
      </c>
      <c r="V14" s="166">
        <v>0</v>
      </c>
      <c r="W14" s="182"/>
      <c r="X14" s="182"/>
      <c r="Y14" s="182"/>
      <c r="Z14" s="185"/>
      <c r="AA14" s="185"/>
      <c r="AB14" s="185"/>
      <c r="AC14" s="185"/>
      <c r="AD14" s="185"/>
      <c r="AE14" s="180"/>
      <c r="AF14" s="179"/>
      <c r="AG14" s="179"/>
      <c r="AH14" s="179"/>
      <c r="AI14" s="179"/>
      <c r="AJ14" s="179"/>
      <c r="AK14" s="179"/>
      <c r="AL14" s="179"/>
      <c r="AN14" s="179"/>
      <c r="AO14" s="179"/>
      <c r="AP14" s="179"/>
    </row>
    <row r="15" spans="1:42" x14ac:dyDescent="0.2">
      <c r="B15" s="137"/>
      <c r="C15" s="185">
        <v>0</v>
      </c>
      <c r="D15" s="185">
        <v>0</v>
      </c>
      <c r="E15" s="185">
        <v>0</v>
      </c>
      <c r="F15" s="185">
        <v>0</v>
      </c>
      <c r="G15" s="185">
        <v>0</v>
      </c>
      <c r="H15" s="185">
        <v>0</v>
      </c>
      <c r="I15" s="185">
        <v>0</v>
      </c>
      <c r="J15" s="185">
        <v>0</v>
      </c>
      <c r="K15" s="166">
        <v>0</v>
      </c>
      <c r="L15" s="182"/>
      <c r="M15" s="137"/>
      <c r="N15" s="185">
        <v>0</v>
      </c>
      <c r="O15" s="185">
        <v>0</v>
      </c>
      <c r="P15" s="185">
        <v>0</v>
      </c>
      <c r="Q15" s="185">
        <v>0</v>
      </c>
      <c r="R15" s="185">
        <v>1</v>
      </c>
      <c r="S15" s="185">
        <v>0</v>
      </c>
      <c r="T15" s="185">
        <v>0</v>
      </c>
      <c r="U15" s="185">
        <v>0</v>
      </c>
      <c r="V15" s="166">
        <v>0</v>
      </c>
      <c r="W15" s="182"/>
      <c r="X15" s="182"/>
      <c r="Y15" s="182"/>
      <c r="Z15" s="185"/>
      <c r="AA15" s="185"/>
      <c r="AB15" s="185"/>
      <c r="AC15" s="185"/>
      <c r="AD15" s="185"/>
      <c r="AE15" s="180"/>
      <c r="AF15" s="179"/>
      <c r="AG15" s="179"/>
      <c r="AH15" s="179"/>
      <c r="AI15" s="179"/>
      <c r="AJ15" s="179"/>
      <c r="AK15" s="179"/>
      <c r="AL15" s="179"/>
      <c r="AN15" s="179"/>
      <c r="AO15" s="179"/>
      <c r="AP15" s="179"/>
    </row>
    <row r="16" spans="1:42" x14ac:dyDescent="0.2">
      <c r="B16" s="137"/>
      <c r="C16" s="185">
        <v>0</v>
      </c>
      <c r="D16" s="185">
        <v>0</v>
      </c>
      <c r="E16" s="185">
        <v>0</v>
      </c>
      <c r="F16" s="185">
        <v>0</v>
      </c>
      <c r="G16" s="185">
        <v>0</v>
      </c>
      <c r="H16" s="185">
        <v>0</v>
      </c>
      <c r="I16" s="185">
        <v>0</v>
      </c>
      <c r="J16" s="185">
        <v>0</v>
      </c>
      <c r="K16" s="166">
        <v>0</v>
      </c>
      <c r="L16" s="182"/>
      <c r="M16" s="137"/>
      <c r="N16" s="185">
        <v>0</v>
      </c>
      <c r="O16" s="185">
        <v>0</v>
      </c>
      <c r="P16" s="185">
        <v>0</v>
      </c>
      <c r="Q16" s="185">
        <v>0</v>
      </c>
      <c r="R16" s="185">
        <v>0</v>
      </c>
      <c r="S16" s="185">
        <v>0</v>
      </c>
      <c r="T16" s="185">
        <v>0</v>
      </c>
      <c r="U16" s="185">
        <v>0</v>
      </c>
      <c r="V16" s="166">
        <v>0</v>
      </c>
      <c r="W16" s="182"/>
      <c r="X16" s="182"/>
      <c r="Y16" s="182"/>
      <c r="Z16" s="185"/>
      <c r="AA16" s="185"/>
      <c r="AB16" s="185"/>
      <c r="AC16" s="185"/>
      <c r="AD16" s="185"/>
      <c r="AE16" s="180"/>
      <c r="AF16" s="179"/>
      <c r="AG16" s="179"/>
      <c r="AH16" s="179"/>
      <c r="AI16" s="179"/>
      <c r="AJ16" s="179"/>
      <c r="AK16" s="179"/>
      <c r="AL16" s="179"/>
      <c r="AN16" s="179"/>
      <c r="AO16" s="179"/>
      <c r="AP16" s="179"/>
    </row>
    <row r="17" spans="2:42" x14ac:dyDescent="0.2">
      <c r="B17" s="137"/>
      <c r="C17" s="185">
        <v>0</v>
      </c>
      <c r="D17" s="185">
        <v>0</v>
      </c>
      <c r="E17" s="185">
        <v>0</v>
      </c>
      <c r="F17" s="185">
        <v>1</v>
      </c>
      <c r="G17" s="185">
        <v>0</v>
      </c>
      <c r="H17" s="185">
        <v>0</v>
      </c>
      <c r="I17" s="185">
        <v>0</v>
      </c>
      <c r="J17" s="185">
        <v>0</v>
      </c>
      <c r="K17" s="166">
        <v>0</v>
      </c>
      <c r="L17" s="182"/>
      <c r="M17" s="137"/>
      <c r="N17" s="185">
        <v>0</v>
      </c>
      <c r="O17" s="185">
        <v>0</v>
      </c>
      <c r="P17" s="185">
        <v>0</v>
      </c>
      <c r="Q17" s="185">
        <v>0</v>
      </c>
      <c r="R17" s="185">
        <v>0</v>
      </c>
      <c r="S17" s="185">
        <v>0</v>
      </c>
      <c r="T17" s="185">
        <v>0</v>
      </c>
      <c r="U17" s="185">
        <v>1</v>
      </c>
      <c r="V17" s="166">
        <v>0</v>
      </c>
      <c r="W17" s="182"/>
      <c r="X17" s="182"/>
      <c r="Y17" s="182"/>
      <c r="Z17" s="185"/>
      <c r="AA17" s="185"/>
      <c r="AB17" s="185"/>
      <c r="AC17" s="185"/>
      <c r="AD17" s="185"/>
      <c r="AE17" s="180"/>
      <c r="AF17" s="179"/>
      <c r="AG17" s="179"/>
      <c r="AH17" s="179"/>
      <c r="AI17" s="179"/>
      <c r="AJ17" s="179"/>
      <c r="AK17" s="179"/>
      <c r="AL17" s="179"/>
      <c r="AN17" s="179"/>
      <c r="AO17" s="179"/>
      <c r="AP17" s="179"/>
    </row>
    <row r="18" spans="2:42" x14ac:dyDescent="0.2">
      <c r="B18" s="137"/>
      <c r="C18" s="185">
        <v>1</v>
      </c>
      <c r="D18" s="185">
        <v>0</v>
      </c>
      <c r="E18" s="185">
        <v>0</v>
      </c>
      <c r="F18" s="185">
        <v>1</v>
      </c>
      <c r="G18" s="185">
        <v>0</v>
      </c>
      <c r="H18" s="185">
        <v>0</v>
      </c>
      <c r="I18" s="185">
        <v>0</v>
      </c>
      <c r="J18" s="185">
        <v>0</v>
      </c>
      <c r="K18" s="166">
        <v>0</v>
      </c>
      <c r="L18" s="182"/>
      <c r="M18" s="137"/>
      <c r="N18" s="185">
        <v>1</v>
      </c>
      <c r="O18" s="185">
        <v>0</v>
      </c>
      <c r="P18" s="185">
        <v>0</v>
      </c>
      <c r="Q18" s="185">
        <v>0</v>
      </c>
      <c r="R18" s="185">
        <v>0</v>
      </c>
      <c r="S18" s="185">
        <v>0</v>
      </c>
      <c r="T18" s="185">
        <v>0</v>
      </c>
      <c r="U18" s="185">
        <v>1</v>
      </c>
      <c r="V18" s="166">
        <v>0</v>
      </c>
      <c r="W18" s="182"/>
      <c r="X18" s="182"/>
      <c r="Y18" s="182"/>
      <c r="Z18" s="185"/>
      <c r="AA18" s="185"/>
      <c r="AB18" s="185"/>
      <c r="AC18" s="185"/>
      <c r="AD18" s="185"/>
      <c r="AE18" s="180"/>
      <c r="AF18" s="179"/>
      <c r="AG18" s="179"/>
      <c r="AH18" s="179"/>
      <c r="AI18" s="179"/>
      <c r="AJ18" s="179"/>
      <c r="AK18" s="179"/>
      <c r="AL18" s="179"/>
      <c r="AN18" s="179"/>
      <c r="AO18" s="179"/>
      <c r="AP18" s="179"/>
    </row>
    <row r="19" spans="2:42" x14ac:dyDescent="0.2">
      <c r="B19" s="137"/>
      <c r="C19" s="185">
        <v>1</v>
      </c>
      <c r="D19" s="185">
        <v>1</v>
      </c>
      <c r="E19" s="185">
        <v>1</v>
      </c>
      <c r="F19" s="185">
        <v>1</v>
      </c>
      <c r="G19" s="185">
        <v>1</v>
      </c>
      <c r="H19" s="185">
        <v>1</v>
      </c>
      <c r="I19" s="185">
        <v>0</v>
      </c>
      <c r="J19" s="185">
        <v>0</v>
      </c>
      <c r="K19" s="166">
        <v>0</v>
      </c>
      <c r="L19" s="182"/>
      <c r="M19" s="137"/>
      <c r="N19" s="185">
        <v>0</v>
      </c>
      <c r="O19" s="185">
        <v>0</v>
      </c>
      <c r="P19" s="185">
        <v>0</v>
      </c>
      <c r="Q19" s="185">
        <v>0</v>
      </c>
      <c r="R19" s="185">
        <v>0</v>
      </c>
      <c r="S19" s="185">
        <v>0</v>
      </c>
      <c r="T19" s="185">
        <v>0</v>
      </c>
      <c r="U19" s="185">
        <v>0</v>
      </c>
      <c r="V19" s="166">
        <v>0</v>
      </c>
      <c r="W19" s="133"/>
      <c r="X19" s="133"/>
      <c r="Y19" s="133"/>
      <c r="Z19" s="165"/>
      <c r="AA19" s="165"/>
      <c r="AB19" s="165"/>
      <c r="AC19" s="165"/>
      <c r="AD19" s="165"/>
    </row>
    <row r="20" spans="2:42" x14ac:dyDescent="0.2">
      <c r="B20" s="141"/>
      <c r="C20" s="170">
        <v>0</v>
      </c>
      <c r="D20" s="170">
        <v>0</v>
      </c>
      <c r="E20" s="170">
        <v>0</v>
      </c>
      <c r="F20" s="170">
        <v>0</v>
      </c>
      <c r="G20" s="170">
        <v>0</v>
      </c>
      <c r="H20" s="170">
        <v>0</v>
      </c>
      <c r="I20" s="170">
        <v>0</v>
      </c>
      <c r="J20" s="170">
        <v>0</v>
      </c>
      <c r="K20" s="171">
        <v>0</v>
      </c>
      <c r="L20" s="182"/>
      <c r="M20" s="141"/>
      <c r="N20" s="170">
        <v>0</v>
      </c>
      <c r="O20" s="170">
        <v>0</v>
      </c>
      <c r="P20" s="170">
        <v>0</v>
      </c>
      <c r="Q20" s="170">
        <v>1</v>
      </c>
      <c r="R20" s="170">
        <v>1</v>
      </c>
      <c r="S20" s="170">
        <v>0</v>
      </c>
      <c r="T20" s="170">
        <v>0</v>
      </c>
      <c r="U20" s="170">
        <v>0</v>
      </c>
      <c r="V20" s="171">
        <v>0</v>
      </c>
      <c r="W20" s="133"/>
      <c r="X20" s="133"/>
      <c r="Y20" s="133"/>
      <c r="Z20" s="165"/>
      <c r="AA20" s="165"/>
      <c r="AB20" s="165"/>
      <c r="AC20" s="165"/>
      <c r="AD20" s="165"/>
    </row>
    <row r="21" spans="2:42" x14ac:dyDescent="0.2">
      <c r="B21" s="182"/>
      <c r="C21" s="185"/>
      <c r="D21" s="185"/>
      <c r="E21" s="185"/>
      <c r="F21" s="185"/>
      <c r="G21" s="185"/>
      <c r="H21" s="185"/>
      <c r="I21" s="185"/>
      <c r="J21" s="185"/>
      <c r="K21" s="185"/>
      <c r="L21" s="182"/>
      <c r="M21" s="182"/>
      <c r="N21" s="185"/>
      <c r="O21" s="185"/>
      <c r="P21" s="185"/>
      <c r="Q21" s="185"/>
      <c r="R21" s="185"/>
      <c r="S21" s="185"/>
      <c r="T21" s="185"/>
      <c r="U21" s="185"/>
      <c r="V21" s="185"/>
      <c r="W21" s="133"/>
      <c r="X21" s="133"/>
      <c r="Y21" s="133"/>
      <c r="Z21" s="165"/>
      <c r="AA21" s="165"/>
      <c r="AB21" s="165"/>
      <c r="AC21" s="165"/>
      <c r="AD21" s="165"/>
    </row>
    <row r="22" spans="2:42" ht="16" x14ac:dyDescent="0.2">
      <c r="B22" s="130" t="s">
        <v>186</v>
      </c>
      <c r="C22" s="183">
        <v>0</v>
      </c>
      <c r="D22" s="183">
        <v>0</v>
      </c>
      <c r="E22" s="183">
        <v>0</v>
      </c>
      <c r="F22" s="183">
        <v>1</v>
      </c>
      <c r="G22" s="183">
        <v>0</v>
      </c>
      <c r="H22" s="183">
        <v>0</v>
      </c>
      <c r="I22" s="183">
        <v>1</v>
      </c>
      <c r="J22" s="183">
        <v>1</v>
      </c>
      <c r="K22" s="184">
        <v>0</v>
      </c>
      <c r="L22" s="182"/>
      <c r="M22" s="130" t="s">
        <v>187</v>
      </c>
      <c r="N22" s="183">
        <v>0</v>
      </c>
      <c r="O22" s="183">
        <v>0</v>
      </c>
      <c r="P22" s="183">
        <v>0</v>
      </c>
      <c r="Q22" s="183">
        <v>1</v>
      </c>
      <c r="R22" s="183">
        <v>0</v>
      </c>
      <c r="S22" s="183">
        <v>0</v>
      </c>
      <c r="T22" s="183">
        <v>1</v>
      </c>
      <c r="U22" s="183">
        <v>1</v>
      </c>
      <c r="V22" s="184">
        <v>0</v>
      </c>
      <c r="W22" s="133"/>
      <c r="X22" s="133"/>
      <c r="Y22" s="133"/>
      <c r="Z22" s="165"/>
      <c r="AA22" s="165"/>
      <c r="AB22" s="165"/>
      <c r="AC22" s="165"/>
      <c r="AD22" s="165"/>
    </row>
    <row r="23" spans="2:42" x14ac:dyDescent="0.2">
      <c r="B23" s="137"/>
      <c r="C23" s="185">
        <v>0</v>
      </c>
      <c r="D23" s="185">
        <v>0</v>
      </c>
      <c r="E23" s="185">
        <v>1</v>
      </c>
      <c r="F23" s="185">
        <v>0</v>
      </c>
      <c r="G23" s="185">
        <v>0</v>
      </c>
      <c r="H23" s="185">
        <v>0</v>
      </c>
      <c r="I23" s="185">
        <v>0</v>
      </c>
      <c r="J23" s="185">
        <v>0</v>
      </c>
      <c r="K23" s="166">
        <v>0</v>
      </c>
      <c r="L23" s="182"/>
      <c r="M23" s="137"/>
      <c r="N23" s="185">
        <v>0</v>
      </c>
      <c r="O23" s="185">
        <v>0</v>
      </c>
      <c r="P23" s="185">
        <v>1</v>
      </c>
      <c r="Q23" s="185">
        <v>1</v>
      </c>
      <c r="R23" s="185">
        <v>0</v>
      </c>
      <c r="S23" s="185">
        <v>0</v>
      </c>
      <c r="T23" s="185">
        <v>1</v>
      </c>
      <c r="U23" s="185">
        <v>0</v>
      </c>
      <c r="V23" s="166">
        <v>0</v>
      </c>
      <c r="W23" s="133"/>
      <c r="X23" s="133"/>
      <c r="Y23" s="133"/>
      <c r="Z23" s="165"/>
      <c r="AA23" s="165"/>
      <c r="AB23" s="165"/>
      <c r="AC23" s="165"/>
      <c r="AD23" s="165"/>
    </row>
    <row r="24" spans="2:42" x14ac:dyDescent="0.2">
      <c r="B24" s="137"/>
      <c r="C24" s="185">
        <v>0</v>
      </c>
      <c r="D24" s="185">
        <v>0</v>
      </c>
      <c r="E24" s="185">
        <v>0</v>
      </c>
      <c r="F24" s="185">
        <v>1</v>
      </c>
      <c r="G24" s="185">
        <v>0</v>
      </c>
      <c r="H24" s="185">
        <v>0</v>
      </c>
      <c r="I24" s="185">
        <v>0</v>
      </c>
      <c r="J24" s="185">
        <v>0</v>
      </c>
      <c r="K24" s="166">
        <v>0</v>
      </c>
      <c r="L24" s="182"/>
      <c r="M24" s="137"/>
      <c r="N24" s="185">
        <v>1</v>
      </c>
      <c r="O24" s="185">
        <v>0</v>
      </c>
      <c r="P24" s="185">
        <v>0</v>
      </c>
      <c r="Q24" s="185">
        <v>1</v>
      </c>
      <c r="R24" s="185">
        <v>0</v>
      </c>
      <c r="S24" s="185">
        <v>0</v>
      </c>
      <c r="T24" s="185">
        <v>0</v>
      </c>
      <c r="U24" s="185">
        <v>0</v>
      </c>
      <c r="V24" s="166">
        <v>0</v>
      </c>
      <c r="W24" s="133"/>
      <c r="X24" s="133"/>
      <c r="Y24" s="133"/>
      <c r="Z24" s="165"/>
      <c r="AA24" s="165"/>
      <c r="AB24" s="165"/>
      <c r="AC24" s="165"/>
      <c r="AD24" s="165"/>
    </row>
    <row r="25" spans="2:42" x14ac:dyDescent="0.2">
      <c r="B25" s="137"/>
      <c r="C25" s="185">
        <v>0</v>
      </c>
      <c r="D25" s="185">
        <v>0</v>
      </c>
      <c r="E25" s="185">
        <v>0</v>
      </c>
      <c r="F25" s="185">
        <v>0</v>
      </c>
      <c r="G25" s="185">
        <v>0</v>
      </c>
      <c r="H25" s="185">
        <v>0</v>
      </c>
      <c r="I25" s="185">
        <v>0</v>
      </c>
      <c r="J25" s="185">
        <v>0</v>
      </c>
      <c r="K25" s="166">
        <v>0</v>
      </c>
      <c r="L25" s="182"/>
      <c r="M25" s="137"/>
      <c r="N25" s="185">
        <v>0</v>
      </c>
      <c r="O25" s="185">
        <v>0</v>
      </c>
      <c r="P25" s="185">
        <v>0</v>
      </c>
      <c r="Q25" s="185">
        <v>0</v>
      </c>
      <c r="R25" s="185">
        <v>0</v>
      </c>
      <c r="S25" s="185">
        <v>0</v>
      </c>
      <c r="T25" s="185">
        <v>0</v>
      </c>
      <c r="U25" s="185">
        <v>0</v>
      </c>
      <c r="V25" s="166">
        <v>0</v>
      </c>
      <c r="W25" s="133"/>
      <c r="X25" s="133"/>
      <c r="Y25" s="133"/>
      <c r="Z25" s="165"/>
      <c r="AA25" s="165"/>
      <c r="AB25" s="165"/>
      <c r="AC25" s="165"/>
      <c r="AD25" s="165"/>
    </row>
    <row r="26" spans="2:42" x14ac:dyDescent="0.2">
      <c r="B26" s="137"/>
      <c r="C26" s="185">
        <v>0</v>
      </c>
      <c r="D26" s="185">
        <v>0</v>
      </c>
      <c r="E26" s="185">
        <v>0</v>
      </c>
      <c r="F26" s="185">
        <v>0</v>
      </c>
      <c r="G26" s="185">
        <v>0</v>
      </c>
      <c r="H26" s="185">
        <v>0</v>
      </c>
      <c r="I26" s="185">
        <v>0</v>
      </c>
      <c r="J26" s="185">
        <v>0</v>
      </c>
      <c r="K26" s="166">
        <v>0</v>
      </c>
      <c r="L26" s="182"/>
      <c r="M26" s="137"/>
      <c r="N26" s="185">
        <v>0</v>
      </c>
      <c r="O26" s="185">
        <v>0</v>
      </c>
      <c r="P26" s="185">
        <v>0</v>
      </c>
      <c r="Q26" s="185">
        <v>0</v>
      </c>
      <c r="R26" s="185">
        <v>0</v>
      </c>
      <c r="S26" s="185">
        <v>0</v>
      </c>
      <c r="T26" s="185">
        <v>0</v>
      </c>
      <c r="U26" s="185">
        <v>0</v>
      </c>
      <c r="V26" s="166">
        <v>0</v>
      </c>
      <c r="W26" s="133"/>
      <c r="X26" s="133"/>
      <c r="Y26" s="133"/>
      <c r="Z26" s="165"/>
      <c r="AA26" s="165"/>
      <c r="AB26" s="165"/>
      <c r="AC26" s="165"/>
      <c r="AD26" s="165"/>
    </row>
    <row r="27" spans="2:42" x14ac:dyDescent="0.2">
      <c r="B27" s="137"/>
      <c r="C27" s="185">
        <v>0</v>
      </c>
      <c r="D27" s="185">
        <v>0</v>
      </c>
      <c r="E27" s="185">
        <v>0</v>
      </c>
      <c r="F27" s="185">
        <v>1</v>
      </c>
      <c r="G27" s="185">
        <v>0</v>
      </c>
      <c r="H27" s="185">
        <v>0</v>
      </c>
      <c r="I27" s="185">
        <v>0</v>
      </c>
      <c r="J27" s="185">
        <v>0</v>
      </c>
      <c r="K27" s="166">
        <v>0</v>
      </c>
      <c r="L27" s="182"/>
      <c r="M27" s="137"/>
      <c r="N27" s="185">
        <v>0</v>
      </c>
      <c r="O27" s="185">
        <v>0</v>
      </c>
      <c r="P27" s="185">
        <v>0</v>
      </c>
      <c r="Q27" s="185">
        <v>0</v>
      </c>
      <c r="R27" s="185">
        <v>0</v>
      </c>
      <c r="S27" s="185">
        <v>0</v>
      </c>
      <c r="T27" s="185">
        <v>0</v>
      </c>
      <c r="U27" s="185">
        <v>0</v>
      </c>
      <c r="V27" s="166">
        <v>0</v>
      </c>
      <c r="W27" s="133"/>
      <c r="X27" s="133"/>
      <c r="Y27" s="133"/>
      <c r="Z27" s="165"/>
      <c r="AA27" s="165"/>
      <c r="AB27" s="165"/>
      <c r="AC27" s="165"/>
      <c r="AD27" s="165"/>
    </row>
    <row r="28" spans="2:42" x14ac:dyDescent="0.2">
      <c r="B28" s="137"/>
      <c r="C28" s="185">
        <v>0</v>
      </c>
      <c r="D28" s="185">
        <v>0</v>
      </c>
      <c r="E28" s="185">
        <v>0</v>
      </c>
      <c r="F28" s="185">
        <v>1</v>
      </c>
      <c r="G28" s="185">
        <v>0</v>
      </c>
      <c r="H28" s="185">
        <v>0</v>
      </c>
      <c r="I28" s="185">
        <v>0</v>
      </c>
      <c r="J28" s="185">
        <v>0</v>
      </c>
      <c r="K28" s="166">
        <v>0</v>
      </c>
      <c r="L28" s="182"/>
      <c r="M28" s="137"/>
      <c r="N28" s="185">
        <v>0</v>
      </c>
      <c r="O28" s="185">
        <v>0</v>
      </c>
      <c r="P28" s="185">
        <v>0</v>
      </c>
      <c r="Q28" s="185">
        <v>0</v>
      </c>
      <c r="R28" s="185">
        <v>0</v>
      </c>
      <c r="S28" s="185">
        <v>0</v>
      </c>
      <c r="T28" s="185">
        <v>0</v>
      </c>
      <c r="U28" s="185">
        <v>0</v>
      </c>
      <c r="V28" s="166">
        <v>0</v>
      </c>
      <c r="W28" s="133"/>
      <c r="X28" s="133"/>
      <c r="Y28" s="133"/>
      <c r="Z28" s="165"/>
      <c r="AA28" s="165"/>
      <c r="AB28" s="165"/>
      <c r="AC28" s="165"/>
      <c r="AD28" s="165"/>
    </row>
    <row r="29" spans="2:42" x14ac:dyDescent="0.2">
      <c r="B29" s="137"/>
      <c r="C29" s="185">
        <v>0</v>
      </c>
      <c r="D29" s="185">
        <v>0</v>
      </c>
      <c r="E29" s="185">
        <v>0</v>
      </c>
      <c r="F29" s="185">
        <v>0</v>
      </c>
      <c r="G29" s="185">
        <v>0</v>
      </c>
      <c r="H29" s="185">
        <v>0</v>
      </c>
      <c r="I29" s="185">
        <v>0</v>
      </c>
      <c r="J29" s="185">
        <v>0</v>
      </c>
      <c r="K29" s="166">
        <v>0</v>
      </c>
      <c r="L29" s="182"/>
      <c r="M29" s="137"/>
      <c r="N29" s="185">
        <v>0</v>
      </c>
      <c r="O29" s="185">
        <v>0</v>
      </c>
      <c r="P29" s="185">
        <v>0</v>
      </c>
      <c r="Q29" s="185">
        <v>0</v>
      </c>
      <c r="R29" s="185">
        <v>0</v>
      </c>
      <c r="S29" s="185">
        <v>0</v>
      </c>
      <c r="T29" s="185">
        <v>0</v>
      </c>
      <c r="U29" s="185">
        <v>0</v>
      </c>
      <c r="V29" s="166">
        <v>0</v>
      </c>
      <c r="W29" s="133"/>
      <c r="X29" s="133"/>
      <c r="Y29" s="133"/>
      <c r="Z29" s="165"/>
      <c r="AA29" s="165"/>
      <c r="AB29" s="165"/>
      <c r="AC29" s="165"/>
      <c r="AD29" s="165"/>
    </row>
    <row r="30" spans="2:42" x14ac:dyDescent="0.2">
      <c r="B30" s="141"/>
      <c r="C30" s="170">
        <v>0</v>
      </c>
      <c r="D30" s="170">
        <v>0</v>
      </c>
      <c r="E30" s="170">
        <v>0</v>
      </c>
      <c r="F30" s="170">
        <v>1</v>
      </c>
      <c r="G30" s="170">
        <v>0</v>
      </c>
      <c r="H30" s="170">
        <v>0</v>
      </c>
      <c r="I30" s="170">
        <v>0</v>
      </c>
      <c r="J30" s="170">
        <v>0</v>
      </c>
      <c r="K30" s="171">
        <v>0</v>
      </c>
      <c r="L30" s="182"/>
      <c r="M30" s="141"/>
      <c r="N30" s="170">
        <v>0</v>
      </c>
      <c r="O30" s="170">
        <v>0</v>
      </c>
      <c r="P30" s="170">
        <v>0</v>
      </c>
      <c r="Q30" s="170">
        <v>1</v>
      </c>
      <c r="R30" s="170">
        <v>0</v>
      </c>
      <c r="S30" s="170">
        <v>0</v>
      </c>
      <c r="T30" s="170">
        <v>0</v>
      </c>
      <c r="U30" s="170">
        <v>0</v>
      </c>
      <c r="V30" s="171">
        <v>0</v>
      </c>
      <c r="W30" s="133"/>
      <c r="X30" s="133"/>
      <c r="Y30" s="133"/>
      <c r="Z30" s="165"/>
      <c r="AA30" s="165"/>
      <c r="AB30" s="165"/>
      <c r="AC30" s="165"/>
      <c r="AD30" s="165"/>
    </row>
    <row r="31" spans="2:42" x14ac:dyDescent="0.2">
      <c r="B31" s="182"/>
      <c r="C31" s="185"/>
      <c r="D31" s="185"/>
      <c r="E31" s="185"/>
      <c r="F31" s="185"/>
      <c r="G31" s="185"/>
      <c r="H31" s="185"/>
      <c r="I31" s="185"/>
      <c r="J31" s="185"/>
      <c r="K31" s="185"/>
      <c r="L31" s="182"/>
      <c r="M31" s="182"/>
      <c r="N31" s="185"/>
      <c r="O31" s="185"/>
      <c r="P31" s="185"/>
      <c r="Q31" s="185"/>
      <c r="R31" s="185"/>
      <c r="S31" s="185"/>
      <c r="T31" s="185"/>
      <c r="U31" s="185"/>
      <c r="V31" s="185"/>
      <c r="W31" s="133"/>
      <c r="X31" s="133"/>
      <c r="Y31" s="133"/>
      <c r="Z31" s="165"/>
      <c r="AA31" s="165"/>
      <c r="AB31" s="165"/>
      <c r="AC31" s="165"/>
      <c r="AD31" s="165"/>
    </row>
    <row r="32" spans="2:42" ht="16" x14ac:dyDescent="0.2">
      <c r="B32" s="146" t="s">
        <v>123</v>
      </c>
      <c r="C32" s="153">
        <v>3</v>
      </c>
      <c r="D32" s="153">
        <v>2</v>
      </c>
      <c r="E32" s="153">
        <v>6</v>
      </c>
      <c r="F32" s="153">
        <v>4</v>
      </c>
      <c r="G32" s="153">
        <v>1</v>
      </c>
      <c r="H32" s="153">
        <v>8</v>
      </c>
      <c r="I32" s="153">
        <v>7</v>
      </c>
      <c r="J32" s="153">
        <v>5</v>
      </c>
      <c r="K32" s="147">
        <v>6</v>
      </c>
      <c r="L32" s="182"/>
      <c r="M32" s="182"/>
      <c r="N32" s="185"/>
      <c r="O32" s="185"/>
      <c r="P32" s="185"/>
      <c r="Q32" s="185"/>
      <c r="R32" s="185"/>
      <c r="S32" s="185"/>
      <c r="T32" s="185"/>
      <c r="U32" s="185"/>
      <c r="V32" s="185"/>
      <c r="W32" s="133"/>
      <c r="X32" s="133"/>
      <c r="Y32" s="133"/>
      <c r="Z32" s="165"/>
      <c r="AA32" s="165"/>
      <c r="AB32" s="165"/>
      <c r="AC32" s="165"/>
      <c r="AD32" s="165"/>
    </row>
    <row r="33" spans="1:30" x14ac:dyDescent="0.2"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82"/>
      <c r="M33" s="182"/>
      <c r="N33" s="182"/>
      <c r="O33" s="182"/>
      <c r="P33" s="182"/>
      <c r="Q33" s="182"/>
      <c r="R33" s="182"/>
      <c r="S33" s="182"/>
      <c r="T33" s="133"/>
      <c r="U33" s="133"/>
      <c r="V33" s="133"/>
      <c r="W33" s="133"/>
      <c r="X33" s="133"/>
      <c r="Y33" s="133"/>
      <c r="Z33" s="165"/>
      <c r="AA33" s="165"/>
      <c r="AB33" s="165"/>
      <c r="AC33" s="165"/>
      <c r="AD33" s="165"/>
    </row>
    <row r="34" spans="1:30" ht="16" x14ac:dyDescent="0.2">
      <c r="B34" s="146" t="s">
        <v>5</v>
      </c>
      <c r="C34" s="153">
        <v>1</v>
      </c>
      <c r="D34" s="153">
        <v>4</v>
      </c>
      <c r="E34" s="153">
        <v>1</v>
      </c>
      <c r="F34" s="153">
        <v>5</v>
      </c>
      <c r="G34" s="153">
        <v>4</v>
      </c>
      <c r="H34" s="153">
        <v>1</v>
      </c>
      <c r="I34" s="153">
        <v>3</v>
      </c>
      <c r="J34" s="153">
        <v>4</v>
      </c>
      <c r="K34" s="147">
        <v>1</v>
      </c>
      <c r="L34" s="182"/>
      <c r="M34" s="182"/>
      <c r="N34" s="182"/>
      <c r="O34" s="182"/>
      <c r="P34" s="182"/>
      <c r="Q34" s="182"/>
      <c r="R34" s="182"/>
      <c r="S34" s="182"/>
      <c r="T34" s="133"/>
      <c r="U34" s="133"/>
      <c r="V34" s="133"/>
      <c r="W34" s="133"/>
      <c r="X34" s="133"/>
      <c r="Y34" s="133"/>
      <c r="Z34" s="165"/>
      <c r="AA34" s="165"/>
      <c r="AB34" s="165"/>
      <c r="AC34" s="165"/>
      <c r="AD34" s="165"/>
    </row>
    <row r="35" spans="1:30" x14ac:dyDescent="0.2"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65"/>
      <c r="AA35" s="165"/>
      <c r="AB35" s="165"/>
      <c r="AC35" s="165"/>
      <c r="AD35" s="165"/>
    </row>
    <row r="36" spans="1:30" ht="16" x14ac:dyDescent="0.2">
      <c r="B36" s="146" t="s">
        <v>43</v>
      </c>
      <c r="C36" s="147">
        <v>9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65"/>
      <c r="AA36" s="165"/>
      <c r="AB36" s="165"/>
      <c r="AC36" s="165"/>
      <c r="AD36" s="165"/>
    </row>
    <row r="39" spans="1:30" ht="16" x14ac:dyDescent="0.2">
      <c r="A39" s="1" t="s">
        <v>3</v>
      </c>
      <c r="B39" s="76" t="s">
        <v>148</v>
      </c>
      <c r="C39" s="136">
        <v>4</v>
      </c>
      <c r="D39" s="136">
        <v>3</v>
      </c>
      <c r="E39" s="136">
        <v>0</v>
      </c>
      <c r="F39" s="136">
        <v>0</v>
      </c>
      <c r="G39" s="136">
        <v>3</v>
      </c>
      <c r="H39" s="134">
        <v>3</v>
      </c>
    </row>
    <row r="40" spans="1:30" ht="16" x14ac:dyDescent="0.2">
      <c r="B40" s="8" t="s">
        <v>0</v>
      </c>
      <c r="C40" s="182">
        <v>3</v>
      </c>
      <c r="D40" s="182">
        <v>2</v>
      </c>
      <c r="E40" s="182">
        <v>1</v>
      </c>
      <c r="F40" s="182">
        <v>1</v>
      </c>
      <c r="G40" s="182">
        <v>1</v>
      </c>
      <c r="H40" s="140">
        <v>3</v>
      </c>
    </row>
    <row r="41" spans="1:30" x14ac:dyDescent="0.2">
      <c r="B41" s="8"/>
      <c r="C41" s="182">
        <v>2</v>
      </c>
      <c r="D41" s="182">
        <v>1</v>
      </c>
      <c r="E41" s="182">
        <v>1</v>
      </c>
      <c r="F41" s="182">
        <v>2</v>
      </c>
      <c r="G41" s="182">
        <v>1</v>
      </c>
      <c r="H41" s="140">
        <v>2</v>
      </c>
    </row>
    <row r="42" spans="1:30" x14ac:dyDescent="0.2">
      <c r="B42" s="8"/>
      <c r="C42" s="182">
        <v>0</v>
      </c>
      <c r="D42" s="182">
        <v>0</v>
      </c>
      <c r="E42" s="182">
        <v>0</v>
      </c>
      <c r="F42" s="182">
        <v>1</v>
      </c>
      <c r="G42" s="182">
        <v>0</v>
      </c>
      <c r="H42" s="140">
        <v>0</v>
      </c>
    </row>
    <row r="43" spans="1:30" x14ac:dyDescent="0.2">
      <c r="B43" s="8"/>
      <c r="C43" s="182">
        <v>0</v>
      </c>
      <c r="D43" s="182">
        <v>6</v>
      </c>
      <c r="E43" s="182">
        <v>0</v>
      </c>
      <c r="F43" s="182">
        <v>0</v>
      </c>
      <c r="G43" s="182">
        <v>0</v>
      </c>
      <c r="H43" s="140">
        <v>0</v>
      </c>
    </row>
    <row r="44" spans="1:30" x14ac:dyDescent="0.2">
      <c r="B44" s="8"/>
      <c r="C44" s="182">
        <v>3</v>
      </c>
      <c r="D44" s="182">
        <v>1</v>
      </c>
      <c r="E44" s="182">
        <v>1</v>
      </c>
      <c r="F44" s="182">
        <v>1</v>
      </c>
      <c r="G44" s="182">
        <v>1</v>
      </c>
      <c r="H44" s="140">
        <v>0</v>
      </c>
    </row>
    <row r="45" spans="1:30" x14ac:dyDescent="0.2">
      <c r="B45" s="8"/>
      <c r="C45" s="182">
        <v>2</v>
      </c>
      <c r="D45" s="182">
        <v>1</v>
      </c>
      <c r="E45" s="182">
        <v>2</v>
      </c>
      <c r="F45" s="182">
        <v>2</v>
      </c>
      <c r="G45" s="182">
        <v>1</v>
      </c>
      <c r="H45" s="140">
        <v>0</v>
      </c>
    </row>
    <row r="46" spans="1:30" x14ac:dyDescent="0.2">
      <c r="B46" s="8"/>
      <c r="C46" s="182">
        <v>0</v>
      </c>
      <c r="D46" s="182">
        <v>0</v>
      </c>
      <c r="E46" s="182">
        <v>6</v>
      </c>
      <c r="F46" s="182">
        <v>0</v>
      </c>
      <c r="G46" s="182">
        <v>0</v>
      </c>
      <c r="H46" s="140">
        <v>0</v>
      </c>
    </row>
    <row r="47" spans="1:30" x14ac:dyDescent="0.2">
      <c r="B47" s="10"/>
      <c r="C47" s="145">
        <v>1</v>
      </c>
      <c r="D47" s="145">
        <v>0</v>
      </c>
      <c r="E47" s="145">
        <v>0</v>
      </c>
      <c r="F47" s="145">
        <v>2</v>
      </c>
      <c r="G47" s="145">
        <v>1</v>
      </c>
      <c r="H47" s="144">
        <v>1</v>
      </c>
    </row>
    <row r="48" spans="1:30" x14ac:dyDescent="0.2">
      <c r="B48" s="179"/>
      <c r="C48" s="179"/>
      <c r="D48" s="179"/>
    </row>
    <row r="49" spans="2:32" ht="16" thickBot="1" x14ac:dyDescent="0.25"/>
    <row r="50" spans="2:32" ht="49" thickBot="1" x14ac:dyDescent="0.25">
      <c r="B50" s="24" t="s">
        <v>198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97"/>
      <c r="AA50" s="197"/>
      <c r="AB50" s="197"/>
      <c r="AC50" s="197"/>
      <c r="AD50" s="197"/>
      <c r="AE50" s="198"/>
    </row>
    <row r="51" spans="2:32" ht="48" x14ac:dyDescent="0.2">
      <c r="B51" s="20" t="s">
        <v>199</v>
      </c>
      <c r="C51" s="190" t="s">
        <v>110</v>
      </c>
      <c r="D51" s="191" t="s">
        <v>149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97"/>
      <c r="AA51" s="197"/>
      <c r="AB51" s="197"/>
      <c r="AC51" s="197"/>
      <c r="AD51" s="197"/>
      <c r="AE51" s="198"/>
    </row>
    <row r="52" spans="2:32" ht="48" x14ac:dyDescent="0.2">
      <c r="B52" s="20"/>
      <c r="C52" s="26" t="s">
        <v>196</v>
      </c>
      <c r="D52" s="12" t="s">
        <v>195</v>
      </c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80"/>
      <c r="AA52" s="180"/>
      <c r="AB52" s="180"/>
      <c r="AC52" s="180"/>
      <c r="AD52" s="180"/>
      <c r="AE52" s="199"/>
    </row>
    <row r="53" spans="2:32" ht="47.5" customHeight="1" x14ac:dyDescent="0.2">
      <c r="B53" s="20"/>
      <c r="C53" s="20"/>
      <c r="D53" s="179"/>
      <c r="E53" s="189" t="s">
        <v>148</v>
      </c>
      <c r="F53" s="136"/>
      <c r="G53" s="136"/>
      <c r="H53" s="136"/>
      <c r="I53" s="136"/>
      <c r="J53" s="134"/>
      <c r="K53" s="179"/>
      <c r="L53" s="130" t="s">
        <v>182</v>
      </c>
      <c r="M53" s="161" t="s">
        <v>183</v>
      </c>
      <c r="N53" s="161" t="s">
        <v>184</v>
      </c>
      <c r="O53" s="161" t="s">
        <v>185</v>
      </c>
      <c r="P53" s="161" t="s">
        <v>186</v>
      </c>
      <c r="Q53" s="156" t="s">
        <v>187</v>
      </c>
      <c r="R53" s="179"/>
      <c r="S53" s="189" t="s">
        <v>148</v>
      </c>
      <c r="T53" s="136"/>
      <c r="U53" s="136"/>
      <c r="V53" s="136"/>
      <c r="W53" s="136"/>
      <c r="X53" s="134"/>
      <c r="Y53" s="179"/>
      <c r="Z53" s="200" t="s">
        <v>197</v>
      </c>
      <c r="AA53" s="183" t="s">
        <v>20</v>
      </c>
      <c r="AB53" s="183"/>
      <c r="AC53" s="183"/>
      <c r="AD53" s="183"/>
      <c r="AE53" s="201"/>
    </row>
    <row r="54" spans="2:32" x14ac:dyDescent="0.2">
      <c r="B54" s="20"/>
      <c r="C54" s="20"/>
      <c r="D54" s="179"/>
      <c r="E54" s="137">
        <v>4</v>
      </c>
      <c r="F54" s="182">
        <v>3</v>
      </c>
      <c r="G54" s="182">
        <v>0</v>
      </c>
      <c r="H54" s="182">
        <v>0</v>
      </c>
      <c r="I54" s="182">
        <v>3</v>
      </c>
      <c r="J54" s="140">
        <v>3</v>
      </c>
      <c r="K54" s="179"/>
      <c r="L54" s="164">
        <v>1</v>
      </c>
      <c r="M54" s="185">
        <v>1</v>
      </c>
      <c r="N54" s="185">
        <v>0</v>
      </c>
      <c r="O54" s="185">
        <v>0</v>
      </c>
      <c r="P54" s="185">
        <v>1</v>
      </c>
      <c r="Q54" s="166">
        <v>1</v>
      </c>
      <c r="R54" s="179"/>
      <c r="S54" s="137">
        <f>E54-L54</f>
        <v>3</v>
      </c>
      <c r="T54" s="182">
        <f t="shared" ref="T54:X62" si="0">F54-M54</f>
        <v>2</v>
      </c>
      <c r="U54" s="182">
        <f t="shared" si="0"/>
        <v>0</v>
      </c>
      <c r="V54" s="182">
        <f t="shared" si="0"/>
        <v>0</v>
      </c>
      <c r="W54" s="182">
        <f t="shared" si="0"/>
        <v>2</v>
      </c>
      <c r="X54" s="140">
        <f t="shared" si="0"/>
        <v>2</v>
      </c>
      <c r="Y54" s="179"/>
      <c r="Z54" s="164">
        <v>3</v>
      </c>
      <c r="AA54" s="185">
        <v>2</v>
      </c>
      <c r="AB54" s="185">
        <v>0</v>
      </c>
      <c r="AC54" s="185">
        <v>0</v>
      </c>
      <c r="AD54" s="185">
        <v>2</v>
      </c>
      <c r="AE54" s="202">
        <v>2</v>
      </c>
    </row>
    <row r="55" spans="2:32" x14ac:dyDescent="0.2">
      <c r="B55" s="20"/>
      <c r="C55" s="20"/>
      <c r="D55" s="179"/>
      <c r="E55" s="137">
        <v>3</v>
      </c>
      <c r="F55" s="182">
        <v>2</v>
      </c>
      <c r="G55" s="182">
        <v>1</v>
      </c>
      <c r="H55" s="182">
        <v>1</v>
      </c>
      <c r="I55" s="182">
        <v>1</v>
      </c>
      <c r="J55" s="140">
        <v>3</v>
      </c>
      <c r="K55" s="179"/>
      <c r="L55" s="164">
        <v>0</v>
      </c>
      <c r="M55" s="185">
        <v>1</v>
      </c>
      <c r="N55" s="185">
        <v>1</v>
      </c>
      <c r="O55" s="185">
        <v>0</v>
      </c>
      <c r="P55" s="185">
        <v>0</v>
      </c>
      <c r="Q55" s="166">
        <v>1</v>
      </c>
      <c r="R55" s="179"/>
      <c r="S55" s="137">
        <f t="shared" ref="S55:S62" si="1">E55-L55</f>
        <v>3</v>
      </c>
      <c r="T55" s="182">
        <f t="shared" si="0"/>
        <v>1</v>
      </c>
      <c r="U55" s="182">
        <f t="shared" si="0"/>
        <v>0</v>
      </c>
      <c r="V55" s="182">
        <f t="shared" si="0"/>
        <v>1</v>
      </c>
      <c r="W55" s="182">
        <f t="shared" si="0"/>
        <v>1</v>
      </c>
      <c r="X55" s="140">
        <f t="shared" si="0"/>
        <v>2</v>
      </c>
      <c r="Y55" s="179"/>
      <c r="Z55" s="164">
        <v>3</v>
      </c>
      <c r="AA55" s="185">
        <v>1</v>
      </c>
      <c r="AB55" s="185">
        <v>0</v>
      </c>
      <c r="AC55" s="185">
        <v>1</v>
      </c>
      <c r="AD55" s="185">
        <v>1</v>
      </c>
      <c r="AE55" s="202">
        <v>2</v>
      </c>
    </row>
    <row r="56" spans="2:32" x14ac:dyDescent="0.2">
      <c r="B56" s="20"/>
      <c r="C56" s="20"/>
      <c r="D56" s="179"/>
      <c r="E56" s="137">
        <v>2</v>
      </c>
      <c r="F56" s="182">
        <v>1</v>
      </c>
      <c r="G56" s="182">
        <v>1</v>
      </c>
      <c r="H56" s="182">
        <v>2</v>
      </c>
      <c r="I56" s="182">
        <v>1</v>
      </c>
      <c r="J56" s="140">
        <v>2</v>
      </c>
      <c r="K56" s="179"/>
      <c r="L56" s="164">
        <v>1</v>
      </c>
      <c r="M56" s="185">
        <v>1</v>
      </c>
      <c r="N56" s="185">
        <v>1</v>
      </c>
      <c r="O56" s="185">
        <v>0</v>
      </c>
      <c r="P56" s="185">
        <v>1</v>
      </c>
      <c r="Q56" s="166">
        <v>1</v>
      </c>
      <c r="R56" s="179"/>
      <c r="S56" s="137">
        <f t="shared" si="1"/>
        <v>1</v>
      </c>
      <c r="T56" s="182">
        <f t="shared" si="0"/>
        <v>0</v>
      </c>
      <c r="U56" s="182">
        <f t="shared" si="0"/>
        <v>0</v>
      </c>
      <c r="V56" s="182">
        <f t="shared" si="0"/>
        <v>2</v>
      </c>
      <c r="W56" s="182">
        <f t="shared" si="0"/>
        <v>0</v>
      </c>
      <c r="X56" s="140">
        <f t="shared" si="0"/>
        <v>1</v>
      </c>
      <c r="Y56" s="179"/>
      <c r="Z56" s="164">
        <v>1</v>
      </c>
      <c r="AA56" s="185">
        <v>0</v>
      </c>
      <c r="AB56" s="185">
        <v>0</v>
      </c>
      <c r="AC56" s="185">
        <v>2</v>
      </c>
      <c r="AD56" s="185">
        <v>0</v>
      </c>
      <c r="AE56" s="202">
        <v>1</v>
      </c>
    </row>
    <row r="57" spans="2:32" x14ac:dyDescent="0.2">
      <c r="B57" s="20"/>
      <c r="C57" s="20"/>
      <c r="D57" s="179"/>
      <c r="E57" s="137">
        <v>0</v>
      </c>
      <c r="F57" s="188">
        <v>0</v>
      </c>
      <c r="G57" s="182">
        <v>0</v>
      </c>
      <c r="H57" s="182">
        <v>1</v>
      </c>
      <c r="I57" s="182">
        <v>0</v>
      </c>
      <c r="J57" s="140">
        <v>0</v>
      </c>
      <c r="K57" s="179"/>
      <c r="L57" s="164">
        <v>0</v>
      </c>
      <c r="M57" s="185">
        <v>0</v>
      </c>
      <c r="N57" s="185">
        <v>0</v>
      </c>
      <c r="O57" s="185">
        <v>0</v>
      </c>
      <c r="P57" s="185">
        <v>0</v>
      </c>
      <c r="Q57" s="166">
        <v>0</v>
      </c>
      <c r="R57" s="179"/>
      <c r="S57" s="137">
        <f t="shared" si="1"/>
        <v>0</v>
      </c>
      <c r="T57" s="182">
        <f t="shared" si="0"/>
        <v>0</v>
      </c>
      <c r="U57" s="182">
        <f t="shared" si="0"/>
        <v>0</v>
      </c>
      <c r="V57" s="182">
        <f t="shared" si="0"/>
        <v>1</v>
      </c>
      <c r="W57" s="182">
        <f t="shared" si="0"/>
        <v>0</v>
      </c>
      <c r="X57" s="140">
        <f t="shared" si="0"/>
        <v>0</v>
      </c>
      <c r="Y57" s="179"/>
      <c r="Z57" s="164" t="s">
        <v>20</v>
      </c>
      <c r="AA57" s="164" t="s">
        <v>20</v>
      </c>
      <c r="AB57" s="164" t="s">
        <v>20</v>
      </c>
      <c r="AC57" s="164" t="s">
        <v>20</v>
      </c>
      <c r="AD57" s="164" t="s">
        <v>20</v>
      </c>
      <c r="AE57" s="164" t="s">
        <v>20</v>
      </c>
    </row>
    <row r="58" spans="2:32" x14ac:dyDescent="0.2">
      <c r="B58" s="20"/>
      <c r="C58" s="20"/>
      <c r="D58" s="179"/>
      <c r="E58" s="137">
        <v>0</v>
      </c>
      <c r="F58" s="182">
        <v>6</v>
      </c>
      <c r="G58" s="182">
        <v>0</v>
      </c>
      <c r="H58" s="182">
        <v>0</v>
      </c>
      <c r="I58" s="182">
        <v>0</v>
      </c>
      <c r="J58" s="140">
        <v>0</v>
      </c>
      <c r="K58" s="179"/>
      <c r="L58" s="164">
        <v>0</v>
      </c>
      <c r="M58" s="185">
        <v>1</v>
      </c>
      <c r="N58" s="185">
        <v>0</v>
      </c>
      <c r="O58" s="185">
        <v>0</v>
      </c>
      <c r="P58" s="185">
        <v>0</v>
      </c>
      <c r="Q58" s="166">
        <v>0</v>
      </c>
      <c r="R58" s="179"/>
      <c r="S58" s="137">
        <f t="shared" si="1"/>
        <v>0</v>
      </c>
      <c r="T58" s="182">
        <f t="shared" si="0"/>
        <v>5</v>
      </c>
      <c r="U58" s="182">
        <f t="shared" si="0"/>
        <v>0</v>
      </c>
      <c r="V58" s="182">
        <f t="shared" si="0"/>
        <v>0</v>
      </c>
      <c r="W58" s="182">
        <f t="shared" si="0"/>
        <v>0</v>
      </c>
      <c r="X58" s="140">
        <f t="shared" si="0"/>
        <v>0</v>
      </c>
      <c r="Y58" s="179"/>
      <c r="Z58" s="164">
        <v>0</v>
      </c>
      <c r="AA58" s="185">
        <v>5</v>
      </c>
      <c r="AB58" s="185">
        <v>0</v>
      </c>
      <c r="AC58" s="185">
        <v>0</v>
      </c>
      <c r="AD58" s="185">
        <v>0</v>
      </c>
      <c r="AE58" s="202">
        <v>0</v>
      </c>
    </row>
    <row r="59" spans="2:32" x14ac:dyDescent="0.2">
      <c r="B59" s="20"/>
      <c r="C59" s="20"/>
      <c r="D59" s="179"/>
      <c r="E59" s="137">
        <v>3</v>
      </c>
      <c r="F59" s="182">
        <v>1</v>
      </c>
      <c r="G59" s="182">
        <v>1</v>
      </c>
      <c r="H59" s="182">
        <v>1</v>
      </c>
      <c r="I59" s="182">
        <v>1</v>
      </c>
      <c r="J59" s="140">
        <v>0</v>
      </c>
      <c r="K59" s="179"/>
      <c r="L59" s="164">
        <v>1</v>
      </c>
      <c r="M59" s="185">
        <v>1</v>
      </c>
      <c r="N59" s="185">
        <v>1</v>
      </c>
      <c r="O59" s="185">
        <v>0</v>
      </c>
      <c r="P59" s="185">
        <v>1</v>
      </c>
      <c r="Q59" s="166">
        <v>0</v>
      </c>
      <c r="R59" s="179"/>
      <c r="S59" s="137">
        <f t="shared" si="1"/>
        <v>2</v>
      </c>
      <c r="T59" s="182">
        <f t="shared" si="0"/>
        <v>0</v>
      </c>
      <c r="U59" s="182">
        <f t="shared" si="0"/>
        <v>0</v>
      </c>
      <c r="V59" s="182">
        <f t="shared" si="0"/>
        <v>1</v>
      </c>
      <c r="W59" s="182">
        <f t="shared" si="0"/>
        <v>0</v>
      </c>
      <c r="X59" s="140">
        <f t="shared" si="0"/>
        <v>0</v>
      </c>
      <c r="Y59" s="179"/>
      <c r="Z59" s="164">
        <v>2</v>
      </c>
      <c r="AA59" s="185">
        <v>0</v>
      </c>
      <c r="AB59" s="185">
        <v>0</v>
      </c>
      <c r="AC59" s="185">
        <v>1</v>
      </c>
      <c r="AD59" s="185">
        <v>0</v>
      </c>
      <c r="AE59" s="202">
        <v>0</v>
      </c>
    </row>
    <row r="60" spans="2:32" x14ac:dyDescent="0.2">
      <c r="B60" s="20"/>
      <c r="C60" s="20"/>
      <c r="D60" s="179"/>
      <c r="E60" s="137">
        <v>2</v>
      </c>
      <c r="F60" s="182">
        <v>1</v>
      </c>
      <c r="G60" s="182">
        <v>2</v>
      </c>
      <c r="H60" s="182">
        <v>2</v>
      </c>
      <c r="I60" s="182">
        <v>1</v>
      </c>
      <c r="J60" s="140">
        <v>0</v>
      </c>
      <c r="K60" s="179"/>
      <c r="L60" s="164">
        <v>0</v>
      </c>
      <c r="M60" s="185">
        <v>1</v>
      </c>
      <c r="N60" s="185">
        <v>1</v>
      </c>
      <c r="O60" s="185">
        <v>0</v>
      </c>
      <c r="P60" s="185">
        <v>1</v>
      </c>
      <c r="Q60" s="166">
        <v>0</v>
      </c>
      <c r="R60" s="179"/>
      <c r="S60" s="137">
        <f t="shared" si="1"/>
        <v>2</v>
      </c>
      <c r="T60" s="182">
        <f t="shared" si="0"/>
        <v>0</v>
      </c>
      <c r="U60" s="182">
        <f t="shared" si="0"/>
        <v>1</v>
      </c>
      <c r="V60" s="182">
        <f t="shared" si="0"/>
        <v>2</v>
      </c>
      <c r="W60" s="182">
        <f t="shared" si="0"/>
        <v>0</v>
      </c>
      <c r="X60" s="140">
        <f t="shared" si="0"/>
        <v>0</v>
      </c>
      <c r="Y60" s="179"/>
      <c r="Z60" s="164">
        <v>2</v>
      </c>
      <c r="AA60" s="185">
        <v>0</v>
      </c>
      <c r="AB60" s="185">
        <v>1</v>
      </c>
      <c r="AC60" s="185">
        <v>2</v>
      </c>
      <c r="AD60" s="185">
        <v>0</v>
      </c>
      <c r="AE60" s="202">
        <v>0</v>
      </c>
    </row>
    <row r="61" spans="2:32" x14ac:dyDescent="0.2">
      <c r="B61" s="20"/>
      <c r="C61" s="20"/>
      <c r="D61" s="179"/>
      <c r="E61" s="137">
        <v>0</v>
      </c>
      <c r="F61" s="182">
        <v>0</v>
      </c>
      <c r="G61" s="182">
        <v>6</v>
      </c>
      <c r="H61" s="182">
        <v>0</v>
      </c>
      <c r="I61" s="182">
        <v>0</v>
      </c>
      <c r="J61" s="140">
        <v>0</v>
      </c>
      <c r="K61" s="179"/>
      <c r="L61" s="164">
        <v>0</v>
      </c>
      <c r="M61" s="185">
        <v>0</v>
      </c>
      <c r="N61" s="185">
        <v>1</v>
      </c>
      <c r="O61" s="185">
        <v>0</v>
      </c>
      <c r="P61" s="185">
        <v>0</v>
      </c>
      <c r="Q61" s="166">
        <v>0</v>
      </c>
      <c r="R61" s="179"/>
      <c r="S61" s="137">
        <f t="shared" si="1"/>
        <v>0</v>
      </c>
      <c r="T61" s="182">
        <f t="shared" si="0"/>
        <v>0</v>
      </c>
      <c r="U61" s="182">
        <f t="shared" si="0"/>
        <v>5</v>
      </c>
      <c r="V61" s="182">
        <f t="shared" si="0"/>
        <v>0</v>
      </c>
      <c r="W61" s="182">
        <f t="shared" si="0"/>
        <v>0</v>
      </c>
      <c r="X61" s="140">
        <f t="shared" si="0"/>
        <v>0</v>
      </c>
      <c r="Y61" s="179"/>
      <c r="Z61" s="164">
        <v>0</v>
      </c>
      <c r="AA61" s="185">
        <v>0</v>
      </c>
      <c r="AB61" s="185">
        <v>5</v>
      </c>
      <c r="AC61" s="185">
        <v>0</v>
      </c>
      <c r="AD61" s="185">
        <v>0</v>
      </c>
      <c r="AE61" s="202">
        <v>0</v>
      </c>
    </row>
    <row r="62" spans="2:32" ht="16" customHeight="1" thickBot="1" x14ac:dyDescent="0.25">
      <c r="B62" s="20"/>
      <c r="C62" s="22"/>
      <c r="D62" s="29"/>
      <c r="E62" s="192">
        <v>1</v>
      </c>
      <c r="F62" s="176">
        <v>0</v>
      </c>
      <c r="G62" s="176">
        <v>0</v>
      </c>
      <c r="H62" s="176">
        <v>2</v>
      </c>
      <c r="I62" s="176">
        <v>1</v>
      </c>
      <c r="J62" s="193">
        <v>1</v>
      </c>
      <c r="K62" s="29"/>
      <c r="L62" s="194">
        <v>1</v>
      </c>
      <c r="M62" s="195">
        <v>0</v>
      </c>
      <c r="N62" s="195">
        <v>0</v>
      </c>
      <c r="O62" s="195">
        <v>1</v>
      </c>
      <c r="P62" s="195">
        <v>1</v>
      </c>
      <c r="Q62" s="196">
        <v>1</v>
      </c>
      <c r="R62" s="29"/>
      <c r="S62" s="192">
        <f t="shared" si="1"/>
        <v>0</v>
      </c>
      <c r="T62" s="176">
        <f t="shared" si="0"/>
        <v>0</v>
      </c>
      <c r="U62" s="176">
        <f t="shared" si="0"/>
        <v>0</v>
      </c>
      <c r="V62" s="176">
        <f t="shared" si="0"/>
        <v>1</v>
      </c>
      <c r="W62" s="176">
        <f t="shared" si="0"/>
        <v>0</v>
      </c>
      <c r="X62" s="193">
        <f t="shared" si="0"/>
        <v>0</v>
      </c>
      <c r="Y62" s="29"/>
      <c r="Z62" s="194">
        <v>0</v>
      </c>
      <c r="AA62" s="195">
        <v>0</v>
      </c>
      <c r="AB62" s="195">
        <v>0</v>
      </c>
      <c r="AC62" s="195">
        <v>1</v>
      </c>
      <c r="AD62" s="195">
        <v>0</v>
      </c>
      <c r="AE62" s="203">
        <v>0</v>
      </c>
    </row>
    <row r="63" spans="2:32" x14ac:dyDescent="0.2">
      <c r="B63" s="20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80"/>
      <c r="AA63" s="180"/>
      <c r="AB63" s="180"/>
      <c r="AC63" s="180"/>
      <c r="AD63" s="204" t="s">
        <v>110</v>
      </c>
      <c r="AE63" s="205" t="s">
        <v>150</v>
      </c>
      <c r="AF63" s="179"/>
    </row>
    <row r="64" spans="2:32" x14ac:dyDescent="0.2">
      <c r="B64" s="20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80"/>
      <c r="AA64" s="180"/>
      <c r="AB64" s="180"/>
      <c r="AC64" s="180"/>
      <c r="AD64" s="206"/>
      <c r="AE64" s="199"/>
      <c r="AF64" s="179"/>
    </row>
    <row r="65" spans="1:32" x14ac:dyDescent="0.2">
      <c r="B65" s="20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80"/>
      <c r="AA65" s="180"/>
      <c r="AB65" s="180"/>
      <c r="AC65" s="180"/>
      <c r="AD65" s="206" t="s">
        <v>132</v>
      </c>
      <c r="AE65" s="199"/>
      <c r="AF65" s="179"/>
    </row>
    <row r="66" spans="1:32" ht="16" thickBot="1" x14ac:dyDescent="0.25">
      <c r="B66" s="22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41"/>
      <c r="AA66" s="41"/>
      <c r="AB66" s="41"/>
      <c r="AC66" s="41"/>
      <c r="AD66" s="207"/>
      <c r="AE66" s="208" t="s">
        <v>151</v>
      </c>
      <c r="AF66" s="179"/>
    </row>
    <row r="67" spans="1:32" ht="16" thickBot="1" x14ac:dyDescent="0.25">
      <c r="B67" s="179"/>
      <c r="C67" s="179"/>
      <c r="D67" s="179"/>
      <c r="E67" s="179"/>
      <c r="F67" s="179"/>
      <c r="M67" s="179"/>
      <c r="N67" s="179"/>
      <c r="O67" s="179"/>
      <c r="S67" s="179"/>
      <c r="T67" s="179"/>
      <c r="U67" s="179"/>
      <c r="AE67" s="180"/>
      <c r="AF67" s="179"/>
    </row>
    <row r="68" spans="1:32" ht="49" thickBot="1" x14ac:dyDescent="0.25">
      <c r="B68" s="24" t="s">
        <v>198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97"/>
      <c r="AA68" s="197"/>
      <c r="AB68" s="197"/>
      <c r="AC68" s="197"/>
      <c r="AD68" s="197"/>
      <c r="AE68" s="198"/>
      <c r="AF68" s="179"/>
    </row>
    <row r="69" spans="1:32" ht="48" x14ac:dyDescent="0.2">
      <c r="B69" s="20" t="s">
        <v>200</v>
      </c>
      <c r="C69" s="190" t="s">
        <v>110</v>
      </c>
      <c r="D69" s="191" t="s">
        <v>149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97"/>
      <c r="AA69" s="197"/>
      <c r="AB69" s="197"/>
      <c r="AC69" s="197"/>
      <c r="AD69" s="197"/>
      <c r="AE69" s="198"/>
      <c r="AF69" s="179"/>
    </row>
    <row r="70" spans="1:32" ht="48" x14ac:dyDescent="0.2">
      <c r="B70" s="20"/>
      <c r="C70" s="26" t="s">
        <v>196</v>
      </c>
      <c r="D70" s="12" t="s">
        <v>202</v>
      </c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80"/>
      <c r="AA70" s="180"/>
      <c r="AB70" s="180"/>
      <c r="AC70" s="180"/>
      <c r="AD70" s="180"/>
      <c r="AE70" s="199"/>
    </row>
    <row r="71" spans="1:32" ht="32" x14ac:dyDescent="0.2">
      <c r="B71" s="20"/>
      <c r="C71" s="20"/>
      <c r="D71" s="179"/>
      <c r="E71" s="189" t="s">
        <v>148</v>
      </c>
      <c r="F71" s="136"/>
      <c r="G71" s="136"/>
      <c r="H71" s="136"/>
      <c r="I71" s="136"/>
      <c r="J71" s="134"/>
      <c r="K71" s="179"/>
      <c r="L71" s="130" t="s">
        <v>182</v>
      </c>
      <c r="M71" s="161" t="s">
        <v>183</v>
      </c>
      <c r="N71" s="161" t="s">
        <v>184</v>
      </c>
      <c r="O71" s="161" t="s">
        <v>185</v>
      </c>
      <c r="P71" s="161" t="s">
        <v>186</v>
      </c>
      <c r="Q71" s="156" t="s">
        <v>187</v>
      </c>
      <c r="R71" s="179"/>
      <c r="S71" s="189" t="s">
        <v>148</v>
      </c>
      <c r="T71" s="136"/>
      <c r="U71" s="136"/>
      <c r="V71" s="136"/>
      <c r="W71" s="136"/>
      <c r="X71" s="134"/>
      <c r="Y71" s="179"/>
      <c r="Z71" s="200" t="s">
        <v>197</v>
      </c>
      <c r="AA71" s="183" t="s">
        <v>20</v>
      </c>
      <c r="AB71" s="183"/>
      <c r="AC71" s="183"/>
      <c r="AD71" s="183"/>
      <c r="AE71" s="201"/>
    </row>
    <row r="72" spans="1:32" x14ac:dyDescent="0.2">
      <c r="B72" s="20"/>
      <c r="C72" s="20"/>
      <c r="D72" s="179"/>
      <c r="E72" s="164">
        <v>3</v>
      </c>
      <c r="F72" s="185">
        <v>2</v>
      </c>
      <c r="G72" s="185">
        <v>0</v>
      </c>
      <c r="H72" s="185">
        <v>0</v>
      </c>
      <c r="I72" s="185">
        <v>2</v>
      </c>
      <c r="J72" s="202">
        <v>2</v>
      </c>
      <c r="K72" s="179"/>
      <c r="L72" s="183">
        <v>0</v>
      </c>
      <c r="M72" s="183">
        <v>0</v>
      </c>
      <c r="N72" s="183">
        <v>0</v>
      </c>
      <c r="O72" s="183">
        <v>0</v>
      </c>
      <c r="P72" s="183">
        <v>0</v>
      </c>
      <c r="Q72" s="183">
        <v>0</v>
      </c>
      <c r="R72" s="179"/>
      <c r="S72" s="137">
        <f>E72-L72</f>
        <v>3</v>
      </c>
      <c r="T72" s="182">
        <f t="shared" ref="T72:T80" si="2">F72-M72</f>
        <v>2</v>
      </c>
      <c r="U72" s="182">
        <f t="shared" ref="U72:U80" si="3">G72-N72</f>
        <v>0</v>
      </c>
      <c r="V72" s="182">
        <f t="shared" ref="V72:V80" si="4">H72-O72</f>
        <v>0</v>
      </c>
      <c r="W72" s="182">
        <f t="shared" ref="W72:W80" si="5">I72-P72</f>
        <v>2</v>
      </c>
      <c r="X72" s="140">
        <f t="shared" ref="X72:X80" si="6">J72-Q72</f>
        <v>2</v>
      </c>
      <c r="Y72" s="179"/>
      <c r="Z72" s="164">
        <v>3</v>
      </c>
      <c r="AA72" s="185">
        <v>2</v>
      </c>
      <c r="AB72" s="185">
        <v>0</v>
      </c>
      <c r="AC72" s="185">
        <v>0</v>
      </c>
      <c r="AD72" s="185">
        <v>2</v>
      </c>
      <c r="AE72" s="202">
        <v>2</v>
      </c>
    </row>
    <row r="73" spans="1:32" x14ac:dyDescent="0.2">
      <c r="A73" s="179"/>
      <c r="B73" s="20"/>
      <c r="C73" s="20"/>
      <c r="D73" s="179"/>
      <c r="E73" s="164">
        <v>3</v>
      </c>
      <c r="F73" s="185">
        <v>1</v>
      </c>
      <c r="G73" s="185">
        <v>0</v>
      </c>
      <c r="H73" s="185">
        <v>1</v>
      </c>
      <c r="I73" s="185">
        <v>1</v>
      </c>
      <c r="J73" s="202">
        <v>2</v>
      </c>
      <c r="K73" s="179"/>
      <c r="L73" s="185">
        <v>1</v>
      </c>
      <c r="M73" s="185">
        <v>1</v>
      </c>
      <c r="N73" s="185">
        <v>0</v>
      </c>
      <c r="O73" s="185">
        <v>0</v>
      </c>
      <c r="P73" s="185">
        <v>1</v>
      </c>
      <c r="Q73" s="185">
        <v>1</v>
      </c>
      <c r="R73" s="179"/>
      <c r="S73" s="137">
        <f t="shared" ref="S73:S80" si="7">E73-L73</f>
        <v>2</v>
      </c>
      <c r="T73" s="182">
        <f t="shared" si="2"/>
        <v>0</v>
      </c>
      <c r="U73" s="182">
        <f t="shared" si="3"/>
        <v>0</v>
      </c>
      <c r="V73" s="182">
        <f t="shared" si="4"/>
        <v>1</v>
      </c>
      <c r="W73" s="182">
        <f t="shared" si="5"/>
        <v>0</v>
      </c>
      <c r="X73" s="140">
        <f t="shared" si="6"/>
        <v>1</v>
      </c>
      <c r="Y73" s="179"/>
      <c r="Z73" s="164">
        <v>2</v>
      </c>
      <c r="AA73" s="185">
        <v>0</v>
      </c>
      <c r="AB73" s="185">
        <v>0</v>
      </c>
      <c r="AC73" s="185">
        <v>1</v>
      </c>
      <c r="AD73" s="185">
        <v>0</v>
      </c>
      <c r="AE73" s="202">
        <v>1</v>
      </c>
    </row>
    <row r="74" spans="1:32" ht="16" x14ac:dyDescent="0.2">
      <c r="A74" s="179"/>
      <c r="B74" s="20"/>
      <c r="C74" s="20"/>
      <c r="D74" s="179"/>
      <c r="E74" s="164">
        <v>1</v>
      </c>
      <c r="F74" s="185">
        <v>0</v>
      </c>
      <c r="G74" s="185">
        <v>0</v>
      </c>
      <c r="H74" s="185">
        <v>2</v>
      </c>
      <c r="I74" s="209">
        <v>0</v>
      </c>
      <c r="J74" s="202">
        <v>1</v>
      </c>
      <c r="K74" s="179"/>
      <c r="L74" s="185">
        <v>0</v>
      </c>
      <c r="M74" s="185">
        <v>0</v>
      </c>
      <c r="N74" s="185">
        <v>0</v>
      </c>
      <c r="O74" s="185">
        <v>0</v>
      </c>
      <c r="P74" s="185">
        <v>0</v>
      </c>
      <c r="Q74" s="185">
        <v>0</v>
      </c>
      <c r="R74" s="179"/>
      <c r="S74" s="137">
        <f t="shared" si="7"/>
        <v>1</v>
      </c>
      <c r="T74" s="182">
        <f t="shared" si="2"/>
        <v>0</v>
      </c>
      <c r="U74" s="182">
        <f t="shared" si="3"/>
        <v>0</v>
      </c>
      <c r="V74" s="182">
        <f t="shared" si="4"/>
        <v>2</v>
      </c>
      <c r="W74" s="182">
        <f t="shared" si="5"/>
        <v>0</v>
      </c>
      <c r="X74" s="140">
        <f t="shared" si="6"/>
        <v>1</v>
      </c>
      <c r="Y74" s="179"/>
      <c r="Z74" s="137" t="s">
        <v>20</v>
      </c>
      <c r="AA74" s="182" t="s">
        <v>20</v>
      </c>
      <c r="AB74" s="182" t="s">
        <v>20</v>
      </c>
      <c r="AC74" s="182" t="s">
        <v>20</v>
      </c>
      <c r="AD74" s="182" t="s">
        <v>20</v>
      </c>
      <c r="AE74" s="140" t="s">
        <v>20</v>
      </c>
    </row>
    <row r="75" spans="1:32" ht="16" x14ac:dyDescent="0.2">
      <c r="A75" s="179"/>
      <c r="B75" s="20"/>
      <c r="C75" s="20"/>
      <c r="D75" s="179"/>
      <c r="E75" s="164" t="s">
        <v>20</v>
      </c>
      <c r="F75" s="185" t="s">
        <v>20</v>
      </c>
      <c r="G75" s="185" t="s">
        <v>20</v>
      </c>
      <c r="H75" s="185" t="s">
        <v>20</v>
      </c>
      <c r="I75" s="185" t="s">
        <v>20</v>
      </c>
      <c r="J75" s="202" t="s">
        <v>20</v>
      </c>
      <c r="K75" s="179"/>
      <c r="L75" s="185">
        <v>0</v>
      </c>
      <c r="M75" s="185">
        <v>0</v>
      </c>
      <c r="N75" s="185">
        <v>0</v>
      </c>
      <c r="O75" s="185">
        <v>0</v>
      </c>
      <c r="P75" s="185">
        <v>0</v>
      </c>
      <c r="Q75" s="185">
        <v>0</v>
      </c>
      <c r="R75" s="179"/>
      <c r="S75" s="137" t="s">
        <v>20</v>
      </c>
      <c r="T75" s="182" t="s">
        <v>20</v>
      </c>
      <c r="U75" s="182" t="s">
        <v>20</v>
      </c>
      <c r="V75" s="182" t="s">
        <v>20</v>
      </c>
      <c r="W75" s="182" t="s">
        <v>20</v>
      </c>
      <c r="X75" s="140" t="s">
        <v>20</v>
      </c>
      <c r="Y75" s="179"/>
      <c r="Z75" s="164" t="s">
        <v>20</v>
      </c>
      <c r="AA75" s="185" t="s">
        <v>20</v>
      </c>
      <c r="AB75" s="185" t="s">
        <v>20</v>
      </c>
      <c r="AC75" s="185" t="s">
        <v>20</v>
      </c>
      <c r="AD75" s="185" t="s">
        <v>20</v>
      </c>
      <c r="AE75" s="202" t="s">
        <v>20</v>
      </c>
    </row>
    <row r="76" spans="1:32" x14ac:dyDescent="0.2">
      <c r="A76" s="179"/>
      <c r="B76" s="20"/>
      <c r="C76" s="20"/>
      <c r="D76" s="179"/>
      <c r="E76" s="164">
        <v>0</v>
      </c>
      <c r="F76" s="185">
        <v>5</v>
      </c>
      <c r="G76" s="185">
        <v>0</v>
      </c>
      <c r="H76" s="185">
        <v>0</v>
      </c>
      <c r="I76" s="185">
        <v>0</v>
      </c>
      <c r="J76" s="202">
        <v>0</v>
      </c>
      <c r="K76" s="179"/>
      <c r="L76" s="185">
        <v>0</v>
      </c>
      <c r="M76" s="185">
        <v>1</v>
      </c>
      <c r="N76" s="185">
        <v>0</v>
      </c>
      <c r="O76" s="185">
        <v>0</v>
      </c>
      <c r="P76" s="185">
        <v>0</v>
      </c>
      <c r="Q76" s="185">
        <v>0</v>
      </c>
      <c r="R76" s="179"/>
      <c r="S76" s="137">
        <f t="shared" si="7"/>
        <v>0</v>
      </c>
      <c r="T76" s="182">
        <f t="shared" si="2"/>
        <v>4</v>
      </c>
      <c r="U76" s="182">
        <f t="shared" si="3"/>
        <v>0</v>
      </c>
      <c r="V76" s="182">
        <f t="shared" si="4"/>
        <v>0</v>
      </c>
      <c r="W76" s="182">
        <f t="shared" si="5"/>
        <v>0</v>
      </c>
      <c r="X76" s="140">
        <f t="shared" si="6"/>
        <v>0</v>
      </c>
      <c r="Y76" s="179"/>
      <c r="Z76" s="164">
        <v>0</v>
      </c>
      <c r="AA76" s="185">
        <v>4</v>
      </c>
      <c r="AB76" s="185">
        <v>0</v>
      </c>
      <c r="AC76" s="185">
        <v>0</v>
      </c>
      <c r="AD76" s="185">
        <v>0</v>
      </c>
      <c r="AE76" s="202">
        <v>0</v>
      </c>
    </row>
    <row r="77" spans="1:32" x14ac:dyDescent="0.2">
      <c r="A77" s="179"/>
      <c r="B77" s="20"/>
      <c r="C77" s="20"/>
      <c r="D77" s="179"/>
      <c r="E77" s="164">
        <v>2</v>
      </c>
      <c r="F77" s="185">
        <v>0</v>
      </c>
      <c r="G77" s="185">
        <v>0</v>
      </c>
      <c r="H77" s="185">
        <v>1</v>
      </c>
      <c r="I77" s="185">
        <v>0</v>
      </c>
      <c r="J77" s="202">
        <v>0</v>
      </c>
      <c r="K77" s="179"/>
      <c r="L77" s="185">
        <v>0</v>
      </c>
      <c r="M77" s="185">
        <v>0</v>
      </c>
      <c r="N77" s="185">
        <v>0</v>
      </c>
      <c r="O77" s="185">
        <v>0</v>
      </c>
      <c r="P77" s="185">
        <v>0</v>
      </c>
      <c r="Q77" s="185">
        <v>0</v>
      </c>
      <c r="R77" s="179"/>
      <c r="S77" s="137">
        <f t="shared" si="7"/>
        <v>2</v>
      </c>
      <c r="T77" s="182">
        <f t="shared" si="2"/>
        <v>0</v>
      </c>
      <c r="U77" s="182">
        <f t="shared" si="3"/>
        <v>0</v>
      </c>
      <c r="V77" s="182">
        <f t="shared" si="4"/>
        <v>1</v>
      </c>
      <c r="W77" s="182">
        <f t="shared" si="5"/>
        <v>0</v>
      </c>
      <c r="X77" s="140">
        <f t="shared" si="6"/>
        <v>0</v>
      </c>
      <c r="Y77" s="179"/>
      <c r="Z77" s="164">
        <v>2</v>
      </c>
      <c r="AA77" s="185">
        <v>0</v>
      </c>
      <c r="AB77" s="185">
        <v>0</v>
      </c>
      <c r="AC77" s="185">
        <v>1</v>
      </c>
      <c r="AD77" s="185">
        <v>0</v>
      </c>
      <c r="AE77" s="202">
        <v>0</v>
      </c>
    </row>
    <row r="78" spans="1:32" x14ac:dyDescent="0.2">
      <c r="A78" s="179"/>
      <c r="B78" s="20"/>
      <c r="C78" s="20"/>
      <c r="D78" s="179"/>
      <c r="E78" s="164">
        <v>2</v>
      </c>
      <c r="F78" s="185">
        <v>0</v>
      </c>
      <c r="G78" s="185">
        <v>1</v>
      </c>
      <c r="H78" s="185">
        <v>2</v>
      </c>
      <c r="I78" s="185">
        <v>0</v>
      </c>
      <c r="J78" s="202">
        <v>0</v>
      </c>
      <c r="K78" s="179"/>
      <c r="L78" s="185">
        <v>0</v>
      </c>
      <c r="M78" s="185">
        <v>0</v>
      </c>
      <c r="N78" s="185">
        <v>0</v>
      </c>
      <c r="O78" s="185">
        <v>0</v>
      </c>
      <c r="P78" s="185">
        <v>0</v>
      </c>
      <c r="Q78" s="185">
        <v>0</v>
      </c>
      <c r="R78" s="179"/>
      <c r="S78" s="137">
        <f t="shared" si="7"/>
        <v>2</v>
      </c>
      <c r="T78" s="182">
        <f t="shared" si="2"/>
        <v>0</v>
      </c>
      <c r="U78" s="182">
        <f t="shared" si="3"/>
        <v>1</v>
      </c>
      <c r="V78" s="182">
        <f t="shared" si="4"/>
        <v>2</v>
      </c>
      <c r="W78" s="182">
        <f t="shared" si="5"/>
        <v>0</v>
      </c>
      <c r="X78" s="140">
        <f t="shared" si="6"/>
        <v>0</v>
      </c>
      <c r="Y78" s="179"/>
      <c r="Z78" s="164">
        <v>2</v>
      </c>
      <c r="AA78" s="185">
        <v>0</v>
      </c>
      <c r="AB78" s="185">
        <v>1</v>
      </c>
      <c r="AC78" s="185">
        <v>2</v>
      </c>
      <c r="AD78" s="185">
        <v>0</v>
      </c>
      <c r="AE78" s="202">
        <v>0</v>
      </c>
    </row>
    <row r="79" spans="1:32" x14ac:dyDescent="0.2">
      <c r="A79" s="179"/>
      <c r="B79" s="20"/>
      <c r="C79" s="20"/>
      <c r="D79" s="179"/>
      <c r="E79" s="164">
        <v>0</v>
      </c>
      <c r="F79" s="185">
        <v>0</v>
      </c>
      <c r="G79" s="185">
        <v>5</v>
      </c>
      <c r="H79" s="185">
        <v>0</v>
      </c>
      <c r="I79" s="185">
        <v>0</v>
      </c>
      <c r="J79" s="202">
        <v>0</v>
      </c>
      <c r="K79" s="179"/>
      <c r="L79" s="185">
        <v>0</v>
      </c>
      <c r="M79" s="185">
        <v>0</v>
      </c>
      <c r="N79" s="185">
        <v>1</v>
      </c>
      <c r="O79" s="185">
        <v>0</v>
      </c>
      <c r="P79" s="185">
        <v>0</v>
      </c>
      <c r="Q79" s="185">
        <v>0</v>
      </c>
      <c r="R79" s="179"/>
      <c r="S79" s="137">
        <f t="shared" si="7"/>
        <v>0</v>
      </c>
      <c r="T79" s="182">
        <f t="shared" si="2"/>
        <v>0</v>
      </c>
      <c r="U79" s="182">
        <f t="shared" si="3"/>
        <v>4</v>
      </c>
      <c r="V79" s="182">
        <f t="shared" si="4"/>
        <v>0</v>
      </c>
      <c r="W79" s="182">
        <f t="shared" si="5"/>
        <v>0</v>
      </c>
      <c r="X79" s="140">
        <f t="shared" si="6"/>
        <v>0</v>
      </c>
      <c r="Y79" s="179"/>
      <c r="Z79" s="164">
        <v>0</v>
      </c>
      <c r="AA79" s="185">
        <v>0</v>
      </c>
      <c r="AB79" s="185">
        <v>4</v>
      </c>
      <c r="AC79" s="185">
        <v>0</v>
      </c>
      <c r="AD79" s="185">
        <v>0</v>
      </c>
      <c r="AE79" s="202">
        <v>0</v>
      </c>
    </row>
    <row r="80" spans="1:32" ht="16" thickBot="1" x14ac:dyDescent="0.25">
      <c r="A80" s="179"/>
      <c r="B80" s="20"/>
      <c r="C80" s="22"/>
      <c r="D80" s="29"/>
      <c r="E80" s="194">
        <v>0</v>
      </c>
      <c r="F80" s="195">
        <v>0</v>
      </c>
      <c r="G80" s="195">
        <v>0</v>
      </c>
      <c r="H80" s="195">
        <v>1</v>
      </c>
      <c r="I80" s="195">
        <v>0</v>
      </c>
      <c r="J80" s="203">
        <v>0</v>
      </c>
      <c r="K80" s="29"/>
      <c r="L80" s="170">
        <v>0</v>
      </c>
      <c r="M80" s="170">
        <v>0</v>
      </c>
      <c r="N80" s="170">
        <v>0</v>
      </c>
      <c r="O80" s="170">
        <v>0</v>
      </c>
      <c r="P80" s="170">
        <v>0</v>
      </c>
      <c r="Q80" s="170">
        <v>0</v>
      </c>
      <c r="R80" s="29"/>
      <c r="S80" s="192">
        <f t="shared" si="7"/>
        <v>0</v>
      </c>
      <c r="T80" s="176">
        <f t="shared" si="2"/>
        <v>0</v>
      </c>
      <c r="U80" s="176">
        <f t="shared" si="3"/>
        <v>0</v>
      </c>
      <c r="V80" s="176">
        <f t="shared" si="4"/>
        <v>1</v>
      </c>
      <c r="W80" s="176">
        <f t="shared" si="5"/>
        <v>0</v>
      </c>
      <c r="X80" s="193">
        <f t="shared" si="6"/>
        <v>0</v>
      </c>
      <c r="Y80" s="29"/>
      <c r="Z80" s="194">
        <v>0</v>
      </c>
      <c r="AA80" s="195">
        <v>0</v>
      </c>
      <c r="AB80" s="195">
        <v>0</v>
      </c>
      <c r="AC80" s="195">
        <v>1</v>
      </c>
      <c r="AD80" s="195">
        <v>0</v>
      </c>
      <c r="AE80" s="203">
        <v>0</v>
      </c>
    </row>
    <row r="81" spans="1:31" x14ac:dyDescent="0.2">
      <c r="A81" s="179"/>
      <c r="B81" s="20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80"/>
      <c r="AA81" s="180"/>
      <c r="AB81" s="180"/>
      <c r="AC81" s="180"/>
      <c r="AD81" s="204" t="s">
        <v>110</v>
      </c>
      <c r="AE81" s="205" t="s">
        <v>150</v>
      </c>
    </row>
    <row r="82" spans="1:31" x14ac:dyDescent="0.2">
      <c r="A82" s="179"/>
      <c r="B82" s="20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80"/>
      <c r="AA82" s="180"/>
      <c r="AB82" s="180"/>
      <c r="AC82" s="180"/>
      <c r="AD82" s="206"/>
      <c r="AE82" s="199"/>
    </row>
    <row r="83" spans="1:31" x14ac:dyDescent="0.2">
      <c r="A83" s="179"/>
      <c r="B83" s="20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80"/>
      <c r="AA83" s="180"/>
      <c r="AB83" s="180"/>
      <c r="AC83" s="180"/>
      <c r="AD83" s="206" t="s">
        <v>132</v>
      </c>
      <c r="AE83" s="199"/>
    </row>
    <row r="84" spans="1:31" ht="16" thickBot="1" x14ac:dyDescent="0.25">
      <c r="A84" s="179"/>
      <c r="B84" s="22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41"/>
      <c r="AA84" s="41"/>
      <c r="AB84" s="41"/>
      <c r="AC84" s="41"/>
      <c r="AD84" s="207"/>
      <c r="AE84" s="208" t="s">
        <v>151</v>
      </c>
    </row>
    <row r="85" spans="1:31" x14ac:dyDescent="0.2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80"/>
      <c r="AA85" s="180"/>
      <c r="AB85" s="180"/>
      <c r="AC85" s="180"/>
      <c r="AD85" s="180"/>
    </row>
    <row r="86" spans="1:31" ht="16" x14ac:dyDescent="0.2">
      <c r="B86" s="2" t="s">
        <v>162</v>
      </c>
    </row>
    <row r="87" spans="1:31" ht="16" x14ac:dyDescent="0.2">
      <c r="B87" s="2" t="s">
        <v>162</v>
      </c>
    </row>
    <row r="88" spans="1:31" ht="16" thickBot="1" x14ac:dyDescent="0.25"/>
    <row r="89" spans="1:31" ht="49" thickBot="1" x14ac:dyDescent="0.25">
      <c r="B89" s="24" t="s">
        <v>198</v>
      </c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97"/>
      <c r="AA89" s="197"/>
      <c r="AB89" s="197"/>
      <c r="AC89" s="197"/>
      <c r="AD89" s="197"/>
      <c r="AE89" s="198"/>
    </row>
    <row r="90" spans="1:31" ht="48" x14ac:dyDescent="0.2">
      <c r="B90" s="20" t="s">
        <v>201</v>
      </c>
      <c r="C90" s="190" t="s">
        <v>110</v>
      </c>
      <c r="D90" s="191" t="s">
        <v>149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97"/>
      <c r="AA90" s="197"/>
      <c r="AB90" s="197"/>
      <c r="AC90" s="197"/>
      <c r="AD90" s="197"/>
      <c r="AE90" s="198"/>
    </row>
    <row r="91" spans="1:31" ht="48" x14ac:dyDescent="0.2">
      <c r="B91" s="20"/>
      <c r="C91" s="26" t="s">
        <v>196</v>
      </c>
      <c r="D91" s="12" t="s">
        <v>203</v>
      </c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80"/>
      <c r="AA91" s="180"/>
      <c r="AB91" s="180"/>
      <c r="AC91" s="180"/>
      <c r="AD91" s="180"/>
      <c r="AE91" s="199"/>
    </row>
    <row r="92" spans="1:31" ht="32" x14ac:dyDescent="0.2">
      <c r="B92" s="20"/>
      <c r="C92" s="20"/>
      <c r="D92" s="179"/>
      <c r="E92" s="189" t="s">
        <v>148</v>
      </c>
      <c r="F92" s="136"/>
      <c r="G92" s="136"/>
      <c r="H92" s="136"/>
      <c r="I92" s="136"/>
      <c r="J92" s="134"/>
      <c r="K92" s="179"/>
      <c r="L92" s="130" t="s">
        <v>182</v>
      </c>
      <c r="M92" s="161" t="s">
        <v>183</v>
      </c>
      <c r="N92" s="161" t="s">
        <v>184</v>
      </c>
      <c r="O92" s="161" t="s">
        <v>185</v>
      </c>
      <c r="P92" s="161" t="s">
        <v>186</v>
      </c>
      <c r="Q92" s="156" t="s">
        <v>187</v>
      </c>
      <c r="R92" s="179"/>
      <c r="S92" s="189" t="s">
        <v>148</v>
      </c>
      <c r="T92" s="136"/>
      <c r="U92" s="136"/>
      <c r="V92" s="136"/>
      <c r="W92" s="136"/>
      <c r="X92" s="134"/>
      <c r="Y92" s="179"/>
      <c r="Z92" s="200" t="s">
        <v>197</v>
      </c>
      <c r="AA92" s="183" t="s">
        <v>20</v>
      </c>
      <c r="AB92" s="183"/>
      <c r="AC92" s="183"/>
      <c r="AD92" s="183"/>
      <c r="AE92" s="201"/>
    </row>
    <row r="93" spans="1:31" ht="16" x14ac:dyDescent="0.2">
      <c r="B93" s="20"/>
      <c r="C93" s="20"/>
      <c r="D93" s="179"/>
      <c r="E93" s="164" t="s">
        <v>20</v>
      </c>
      <c r="F93" s="185" t="s">
        <v>20</v>
      </c>
      <c r="G93" s="185" t="s">
        <v>20</v>
      </c>
      <c r="H93" s="185" t="s">
        <v>20</v>
      </c>
      <c r="I93" s="185" t="s">
        <v>20</v>
      </c>
      <c r="J93" s="166" t="s">
        <v>20</v>
      </c>
      <c r="K93" s="179"/>
      <c r="L93" s="137" t="s">
        <v>191</v>
      </c>
      <c r="M93" s="182" t="s">
        <v>191</v>
      </c>
      <c r="N93" s="182" t="s">
        <v>191</v>
      </c>
      <c r="O93" s="182" t="s">
        <v>191</v>
      </c>
      <c r="P93" s="182" t="s">
        <v>191</v>
      </c>
      <c r="Q93" s="140" t="s">
        <v>191</v>
      </c>
      <c r="R93" s="179"/>
      <c r="S93" s="164" t="s">
        <v>20</v>
      </c>
      <c r="T93" s="185" t="s">
        <v>20</v>
      </c>
      <c r="U93" s="185" t="s">
        <v>20</v>
      </c>
      <c r="V93" s="185" t="s">
        <v>20</v>
      </c>
      <c r="W93" s="185" t="s">
        <v>20</v>
      </c>
      <c r="X93" s="166" t="s">
        <v>20</v>
      </c>
      <c r="Y93" s="179"/>
      <c r="Z93" s="164" t="s">
        <v>20</v>
      </c>
      <c r="AA93" s="185" t="s">
        <v>20</v>
      </c>
      <c r="AB93" s="185" t="s">
        <v>20</v>
      </c>
      <c r="AC93" s="185" t="s">
        <v>20</v>
      </c>
      <c r="AD93" s="185" t="s">
        <v>20</v>
      </c>
      <c r="AE93" s="202" t="s">
        <v>20</v>
      </c>
    </row>
    <row r="94" spans="1:31" ht="16" x14ac:dyDescent="0.2">
      <c r="B94" s="20"/>
      <c r="C94" s="20"/>
      <c r="D94" s="179"/>
      <c r="E94" s="164" t="s">
        <v>20</v>
      </c>
      <c r="F94" s="185" t="s">
        <v>20</v>
      </c>
      <c r="G94" s="185" t="s">
        <v>20</v>
      </c>
      <c r="H94" s="185" t="s">
        <v>20</v>
      </c>
      <c r="I94" s="185" t="s">
        <v>20</v>
      </c>
      <c r="J94" s="166" t="s">
        <v>20</v>
      </c>
      <c r="K94" s="179"/>
      <c r="L94" s="137" t="s">
        <v>191</v>
      </c>
      <c r="M94" s="182" t="s">
        <v>191</v>
      </c>
      <c r="N94" s="182" t="s">
        <v>191</v>
      </c>
      <c r="O94" s="182" t="s">
        <v>191</v>
      </c>
      <c r="P94" s="182" t="s">
        <v>191</v>
      </c>
      <c r="Q94" s="140" t="s">
        <v>191</v>
      </c>
      <c r="R94" s="179"/>
      <c r="S94" s="164" t="s">
        <v>20</v>
      </c>
      <c r="T94" s="185" t="s">
        <v>20</v>
      </c>
      <c r="U94" s="185" t="s">
        <v>20</v>
      </c>
      <c r="V94" s="185" t="s">
        <v>20</v>
      </c>
      <c r="W94" s="185" t="s">
        <v>20</v>
      </c>
      <c r="X94" s="166" t="s">
        <v>20</v>
      </c>
      <c r="Y94" s="179"/>
      <c r="Z94" s="164" t="s">
        <v>20</v>
      </c>
      <c r="AA94" s="185" t="s">
        <v>20</v>
      </c>
      <c r="AB94" s="185" t="s">
        <v>20</v>
      </c>
      <c r="AC94" s="185" t="s">
        <v>20</v>
      </c>
      <c r="AD94" s="185" t="s">
        <v>20</v>
      </c>
      <c r="AE94" s="202" t="s">
        <v>20</v>
      </c>
    </row>
    <row r="95" spans="1:31" ht="16" x14ac:dyDescent="0.2">
      <c r="B95" s="20"/>
      <c r="C95" s="20"/>
      <c r="D95" s="179"/>
      <c r="E95" s="164" t="s">
        <v>20</v>
      </c>
      <c r="F95" s="185" t="s">
        <v>20</v>
      </c>
      <c r="G95" s="185" t="s">
        <v>20</v>
      </c>
      <c r="H95" s="185" t="s">
        <v>20</v>
      </c>
      <c r="I95" s="185" t="s">
        <v>20</v>
      </c>
      <c r="J95" s="166" t="s">
        <v>20</v>
      </c>
      <c r="K95" s="179"/>
      <c r="L95" s="137" t="s">
        <v>191</v>
      </c>
      <c r="M95" s="182" t="s">
        <v>191</v>
      </c>
      <c r="N95" s="182" t="s">
        <v>191</v>
      </c>
      <c r="O95" s="182" t="s">
        <v>191</v>
      </c>
      <c r="P95" s="182" t="s">
        <v>191</v>
      </c>
      <c r="Q95" s="140" t="s">
        <v>191</v>
      </c>
      <c r="R95" s="179"/>
      <c r="S95" s="164" t="s">
        <v>20</v>
      </c>
      <c r="T95" s="185" t="s">
        <v>20</v>
      </c>
      <c r="U95" s="185" t="s">
        <v>20</v>
      </c>
      <c r="V95" s="185" t="s">
        <v>20</v>
      </c>
      <c r="W95" s="185" t="s">
        <v>20</v>
      </c>
      <c r="X95" s="166" t="s">
        <v>20</v>
      </c>
      <c r="Y95" s="179"/>
      <c r="Z95" s="164" t="s">
        <v>20</v>
      </c>
      <c r="AA95" s="185" t="s">
        <v>20</v>
      </c>
      <c r="AB95" s="185" t="s">
        <v>20</v>
      </c>
      <c r="AC95" s="185" t="s">
        <v>20</v>
      </c>
      <c r="AD95" s="185" t="s">
        <v>20</v>
      </c>
      <c r="AE95" s="202" t="s">
        <v>20</v>
      </c>
    </row>
    <row r="96" spans="1:31" ht="16" x14ac:dyDescent="0.2">
      <c r="B96" s="20"/>
      <c r="C96" s="20"/>
      <c r="D96" s="179"/>
      <c r="E96" s="164" t="s">
        <v>20</v>
      </c>
      <c r="F96" s="185" t="s">
        <v>20</v>
      </c>
      <c r="G96" s="185" t="s">
        <v>20</v>
      </c>
      <c r="H96" s="185" t="s">
        <v>20</v>
      </c>
      <c r="I96" s="185" t="s">
        <v>20</v>
      </c>
      <c r="J96" s="166" t="s">
        <v>20</v>
      </c>
      <c r="K96" s="179"/>
      <c r="L96" s="137" t="s">
        <v>191</v>
      </c>
      <c r="M96" s="182" t="s">
        <v>191</v>
      </c>
      <c r="N96" s="182" t="s">
        <v>191</v>
      </c>
      <c r="O96" s="182" t="s">
        <v>191</v>
      </c>
      <c r="P96" s="182" t="s">
        <v>191</v>
      </c>
      <c r="Q96" s="140" t="s">
        <v>191</v>
      </c>
      <c r="R96" s="179"/>
      <c r="S96" s="164" t="s">
        <v>20</v>
      </c>
      <c r="T96" s="185" t="s">
        <v>20</v>
      </c>
      <c r="U96" s="185" t="s">
        <v>20</v>
      </c>
      <c r="V96" s="185" t="s">
        <v>20</v>
      </c>
      <c r="W96" s="185" t="s">
        <v>20</v>
      </c>
      <c r="X96" s="166" t="s">
        <v>20</v>
      </c>
      <c r="Y96" s="179"/>
      <c r="Z96" s="164" t="s">
        <v>20</v>
      </c>
      <c r="AA96" s="185" t="s">
        <v>20</v>
      </c>
      <c r="AB96" s="185" t="s">
        <v>20</v>
      </c>
      <c r="AC96" s="185" t="s">
        <v>20</v>
      </c>
      <c r="AD96" s="185" t="s">
        <v>20</v>
      </c>
      <c r="AE96" s="202" t="s">
        <v>20</v>
      </c>
    </row>
    <row r="97" spans="2:31" ht="16" x14ac:dyDescent="0.2">
      <c r="B97" s="20"/>
      <c r="C97" s="20"/>
      <c r="D97" s="179"/>
      <c r="E97" s="164" t="s">
        <v>20</v>
      </c>
      <c r="F97" s="185" t="s">
        <v>20</v>
      </c>
      <c r="G97" s="185" t="s">
        <v>20</v>
      </c>
      <c r="H97" s="185" t="s">
        <v>20</v>
      </c>
      <c r="I97" s="185" t="s">
        <v>20</v>
      </c>
      <c r="J97" s="166" t="s">
        <v>20</v>
      </c>
      <c r="K97" s="179"/>
      <c r="L97" s="137" t="s">
        <v>191</v>
      </c>
      <c r="M97" s="182" t="s">
        <v>191</v>
      </c>
      <c r="N97" s="182" t="s">
        <v>191</v>
      </c>
      <c r="O97" s="182" t="s">
        <v>191</v>
      </c>
      <c r="P97" s="182" t="s">
        <v>191</v>
      </c>
      <c r="Q97" s="140" t="s">
        <v>191</v>
      </c>
      <c r="R97" s="179"/>
      <c r="S97" s="164" t="s">
        <v>20</v>
      </c>
      <c r="T97" s="185" t="s">
        <v>20</v>
      </c>
      <c r="U97" s="185" t="s">
        <v>20</v>
      </c>
      <c r="V97" s="185" t="s">
        <v>20</v>
      </c>
      <c r="W97" s="185" t="s">
        <v>20</v>
      </c>
      <c r="X97" s="166" t="s">
        <v>20</v>
      </c>
      <c r="Y97" s="179"/>
      <c r="Z97" s="164" t="s">
        <v>20</v>
      </c>
      <c r="AA97" s="185" t="s">
        <v>20</v>
      </c>
      <c r="AB97" s="185" t="s">
        <v>20</v>
      </c>
      <c r="AC97" s="185" t="s">
        <v>20</v>
      </c>
      <c r="AD97" s="185" t="s">
        <v>20</v>
      </c>
      <c r="AE97" s="202" t="s">
        <v>20</v>
      </c>
    </row>
    <row r="98" spans="2:31" ht="32" x14ac:dyDescent="0.2">
      <c r="B98" s="20"/>
      <c r="C98" s="20"/>
      <c r="D98" s="179"/>
      <c r="E98" s="137" t="s">
        <v>191</v>
      </c>
      <c r="F98" s="182" t="s">
        <v>191</v>
      </c>
      <c r="G98" s="182" t="s">
        <v>191</v>
      </c>
      <c r="H98" s="182" t="s">
        <v>191</v>
      </c>
      <c r="I98" s="182" t="s">
        <v>191</v>
      </c>
      <c r="J98" s="140" t="s">
        <v>191</v>
      </c>
      <c r="K98" s="179"/>
      <c r="L98" s="137" t="s">
        <v>191</v>
      </c>
      <c r="M98" s="182" t="s">
        <v>191</v>
      </c>
      <c r="N98" s="182" t="s">
        <v>191</v>
      </c>
      <c r="O98" s="182" t="s">
        <v>191</v>
      </c>
      <c r="P98" s="182" t="s">
        <v>191</v>
      </c>
      <c r="Q98" s="140" t="s">
        <v>191</v>
      </c>
      <c r="R98" s="179"/>
      <c r="S98" s="164" t="s">
        <v>20</v>
      </c>
      <c r="T98" s="185" t="s">
        <v>20</v>
      </c>
      <c r="U98" s="185" t="s">
        <v>20</v>
      </c>
      <c r="V98" s="185" t="s">
        <v>20</v>
      </c>
      <c r="W98" s="185" t="s">
        <v>20</v>
      </c>
      <c r="X98" s="166" t="s">
        <v>20</v>
      </c>
      <c r="Y98" s="179"/>
      <c r="Z98" s="164" t="s">
        <v>20</v>
      </c>
      <c r="AA98" s="185" t="s">
        <v>20</v>
      </c>
      <c r="AB98" s="185" t="s">
        <v>20</v>
      </c>
      <c r="AC98" s="185" t="s">
        <v>20</v>
      </c>
      <c r="AD98" s="185" t="s">
        <v>20</v>
      </c>
      <c r="AE98" s="202" t="s">
        <v>20</v>
      </c>
    </row>
    <row r="99" spans="2:31" ht="32" x14ac:dyDescent="0.2">
      <c r="B99" s="20"/>
      <c r="C99" s="20"/>
      <c r="D99" s="179"/>
      <c r="E99" s="137" t="s">
        <v>191</v>
      </c>
      <c r="F99" s="182" t="s">
        <v>191</v>
      </c>
      <c r="G99" s="182" t="s">
        <v>191</v>
      </c>
      <c r="H99" s="182" t="s">
        <v>191</v>
      </c>
      <c r="I99" s="182" t="s">
        <v>191</v>
      </c>
      <c r="J99" s="140" t="s">
        <v>191</v>
      </c>
      <c r="K99" s="179"/>
      <c r="L99" s="137" t="s">
        <v>191</v>
      </c>
      <c r="M99" s="182" t="s">
        <v>191</v>
      </c>
      <c r="N99" s="182" t="s">
        <v>191</v>
      </c>
      <c r="O99" s="182" t="s">
        <v>191</v>
      </c>
      <c r="P99" s="182" t="s">
        <v>191</v>
      </c>
      <c r="Q99" s="140" t="s">
        <v>191</v>
      </c>
      <c r="R99" s="179"/>
      <c r="S99" s="137" t="s">
        <v>191</v>
      </c>
      <c r="T99" s="182" t="s">
        <v>191</v>
      </c>
      <c r="U99" s="182" t="s">
        <v>191</v>
      </c>
      <c r="V99" s="182" t="s">
        <v>191</v>
      </c>
      <c r="W99" s="182" t="s">
        <v>191</v>
      </c>
      <c r="X99" s="140" t="s">
        <v>191</v>
      </c>
      <c r="Y99" s="179"/>
      <c r="Z99" s="164" t="s">
        <v>20</v>
      </c>
      <c r="AA99" s="185" t="s">
        <v>20</v>
      </c>
      <c r="AB99" s="185" t="s">
        <v>20</v>
      </c>
      <c r="AC99" s="185" t="s">
        <v>20</v>
      </c>
      <c r="AD99" s="185" t="s">
        <v>20</v>
      </c>
      <c r="AE99" s="202" t="s">
        <v>20</v>
      </c>
    </row>
    <row r="100" spans="2:31" ht="16" x14ac:dyDescent="0.2">
      <c r="B100" s="20"/>
      <c r="C100" s="20"/>
      <c r="D100" s="179"/>
      <c r="E100" s="164" t="s">
        <v>20</v>
      </c>
      <c r="F100" s="185" t="s">
        <v>20</v>
      </c>
      <c r="G100" s="185" t="s">
        <v>20</v>
      </c>
      <c r="H100" s="185" t="s">
        <v>20</v>
      </c>
      <c r="I100" s="185" t="s">
        <v>20</v>
      </c>
      <c r="J100" s="166" t="s">
        <v>20</v>
      </c>
      <c r="K100" s="179"/>
      <c r="L100" s="137" t="s">
        <v>191</v>
      </c>
      <c r="M100" s="182" t="s">
        <v>191</v>
      </c>
      <c r="N100" s="182" t="s">
        <v>191</v>
      </c>
      <c r="O100" s="182" t="s">
        <v>191</v>
      </c>
      <c r="P100" s="182" t="s">
        <v>191</v>
      </c>
      <c r="Q100" s="140" t="s">
        <v>191</v>
      </c>
      <c r="R100" s="179"/>
      <c r="S100" s="164" t="s">
        <v>20</v>
      </c>
      <c r="T100" s="185" t="s">
        <v>20</v>
      </c>
      <c r="U100" s="185" t="s">
        <v>20</v>
      </c>
      <c r="V100" s="185" t="s">
        <v>20</v>
      </c>
      <c r="W100" s="185" t="s">
        <v>20</v>
      </c>
      <c r="X100" s="166" t="s">
        <v>20</v>
      </c>
      <c r="Y100" s="179"/>
      <c r="Z100" s="164" t="s">
        <v>20</v>
      </c>
      <c r="AA100" s="185" t="s">
        <v>20</v>
      </c>
      <c r="AB100" s="185" t="s">
        <v>20</v>
      </c>
      <c r="AC100" s="185" t="s">
        <v>20</v>
      </c>
      <c r="AD100" s="185" t="s">
        <v>20</v>
      </c>
      <c r="AE100" s="202" t="s">
        <v>20</v>
      </c>
    </row>
    <row r="101" spans="2:31" ht="17" thickBot="1" x14ac:dyDescent="0.25">
      <c r="B101" s="20"/>
      <c r="C101" s="22"/>
      <c r="D101" s="29"/>
      <c r="E101" s="194" t="s">
        <v>20</v>
      </c>
      <c r="F101" s="195" t="s">
        <v>20</v>
      </c>
      <c r="G101" s="195" t="s">
        <v>20</v>
      </c>
      <c r="H101" s="195" t="s">
        <v>20</v>
      </c>
      <c r="I101" s="195" t="s">
        <v>20</v>
      </c>
      <c r="J101" s="196" t="s">
        <v>20</v>
      </c>
      <c r="K101" s="29"/>
      <c r="L101" s="192" t="s">
        <v>191</v>
      </c>
      <c r="M101" s="176" t="s">
        <v>191</v>
      </c>
      <c r="N101" s="176" t="s">
        <v>191</v>
      </c>
      <c r="O101" s="176" t="s">
        <v>191</v>
      </c>
      <c r="P101" s="176" t="s">
        <v>191</v>
      </c>
      <c r="Q101" s="193" t="s">
        <v>191</v>
      </c>
      <c r="R101" s="29"/>
      <c r="S101" s="194" t="s">
        <v>20</v>
      </c>
      <c r="T101" s="195" t="s">
        <v>20</v>
      </c>
      <c r="U101" s="195" t="s">
        <v>20</v>
      </c>
      <c r="V101" s="195" t="s">
        <v>20</v>
      </c>
      <c r="W101" s="195" t="s">
        <v>20</v>
      </c>
      <c r="X101" s="196" t="s">
        <v>20</v>
      </c>
      <c r="Y101" s="29"/>
      <c r="Z101" s="194" t="s">
        <v>20</v>
      </c>
      <c r="AA101" s="195" t="s">
        <v>20</v>
      </c>
      <c r="AB101" s="195" t="s">
        <v>20</v>
      </c>
      <c r="AC101" s="195" t="s">
        <v>20</v>
      </c>
      <c r="AD101" s="195" t="s">
        <v>20</v>
      </c>
      <c r="AE101" s="203" t="s">
        <v>20</v>
      </c>
    </row>
    <row r="102" spans="2:31" x14ac:dyDescent="0.2">
      <c r="B102" s="20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80"/>
      <c r="AA102" s="180"/>
      <c r="AB102" s="180"/>
      <c r="AC102" s="180"/>
      <c r="AD102" s="210" t="s">
        <v>110</v>
      </c>
      <c r="AE102" s="211" t="s">
        <v>150</v>
      </c>
    </row>
    <row r="103" spans="2:31" x14ac:dyDescent="0.2">
      <c r="B103" s="20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80"/>
      <c r="AA103" s="180"/>
      <c r="AB103" s="180"/>
      <c r="AC103" s="180"/>
      <c r="AD103" s="206"/>
      <c r="AE103" s="199"/>
    </row>
    <row r="104" spans="2:31" x14ac:dyDescent="0.2">
      <c r="B104" s="20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80"/>
      <c r="AA104" s="180"/>
      <c r="AB104" s="180"/>
      <c r="AC104" s="180"/>
      <c r="AD104" s="206" t="s">
        <v>132</v>
      </c>
      <c r="AE104" s="199"/>
    </row>
    <row r="105" spans="2:31" ht="16" thickBot="1" x14ac:dyDescent="0.25">
      <c r="B105" s="22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41"/>
      <c r="AA105" s="41"/>
      <c r="AB105" s="41"/>
      <c r="AC105" s="41"/>
      <c r="AD105" s="207"/>
      <c r="AE105" s="208" t="s">
        <v>151</v>
      </c>
    </row>
    <row r="106" spans="2:31" x14ac:dyDescent="0.2"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</row>
    <row r="107" spans="2:31" x14ac:dyDescent="0.2"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</row>
    <row r="108" spans="2:31" x14ac:dyDescent="0.2"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</row>
    <row r="109" spans="2:31" x14ac:dyDescent="0.2"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</row>
    <row r="110" spans="2:31" x14ac:dyDescent="0.2"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86"/>
      <c r="P110" s="186"/>
      <c r="Q110" s="179"/>
      <c r="R110" s="179"/>
    </row>
    <row r="111" spans="2:31" x14ac:dyDescent="0.2"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87"/>
      <c r="R111" s="179"/>
    </row>
    <row r="112" spans="2:31" x14ac:dyDescent="0.2"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</row>
    <row r="113" spans="2:18" x14ac:dyDescent="0.2"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87"/>
      <c r="Q113" s="179"/>
      <c r="R113" s="17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@Algo1@BestSequenceGeneration</vt:lpstr>
      <vt:lpstr>@Fn1_GenerateFeasibleSequence</vt:lpstr>
      <vt:lpstr>@Func2_miss@Disassembly_tool</vt:lpstr>
      <vt:lpstr>@Func3@fitness</vt:lpstr>
      <vt:lpstr>@Algo1@Bees</vt:lpstr>
      <vt:lpstr>@Func4@PerformBeeDance_swap</vt:lpstr>
      <vt:lpstr>@Func5@checkfeasibility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Kaiwen Jiang</dc:creator>
  <cp:lastModifiedBy>Microsoft Office User</cp:lastModifiedBy>
  <dcterms:created xsi:type="dcterms:W3CDTF">2022-11-21T18:46:32Z</dcterms:created>
  <dcterms:modified xsi:type="dcterms:W3CDTF">2023-03-14T17:24:12Z</dcterms:modified>
</cp:coreProperties>
</file>